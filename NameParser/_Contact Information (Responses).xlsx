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"/>
    </mc:Choice>
  </mc:AlternateContent>
  <xr:revisionPtr revIDLastSave="64" documentId="11_64C955A543D1C34A3EA1AC8B84ECFD0193684075" xr6:coauthVersionLast="47" xr6:coauthVersionMax="47" xr10:uidLastSave="{80A4E972-0EB7-4835-BDC6-474A54821787}"/>
  <bookViews>
    <workbookView xWindow="3510" yWindow="600" windowWidth="38415" windowHeight="1560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K2" i="1"/>
  <c r="J3" i="1" s="1" a="1"/>
  <c r="J3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N23" i="1" l="1"/>
  <c r="N10" i="1"/>
  <c r="N11" i="1"/>
  <c r="N46" i="1"/>
  <c r="N58" i="1"/>
  <c r="J11" i="1" a="1"/>
  <c r="J11" i="1" s="1"/>
  <c r="N45" i="1"/>
  <c r="N68" i="1"/>
  <c r="N121" i="1"/>
  <c r="N85" i="1"/>
  <c r="N61" i="1"/>
  <c r="N37" i="1"/>
  <c r="N120" i="1"/>
  <c r="N96" i="1"/>
  <c r="N72" i="1"/>
  <c r="N81" i="1"/>
  <c r="N104" i="1"/>
  <c r="N21" i="1"/>
  <c r="N103" i="1"/>
  <c r="N67" i="1"/>
  <c r="N31" i="1"/>
  <c r="N93" i="1"/>
  <c r="N127" i="1"/>
  <c r="N44" i="1"/>
  <c r="N115" i="1"/>
  <c r="N55" i="1"/>
  <c r="N8" i="1"/>
  <c r="N125" i="1"/>
  <c r="N114" i="1"/>
  <c r="N102" i="1"/>
  <c r="N90" i="1"/>
  <c r="N78" i="1"/>
  <c r="N66" i="1"/>
  <c r="N54" i="1"/>
  <c r="N42" i="1"/>
  <c r="N30" i="1"/>
  <c r="N19" i="1"/>
  <c r="N83" i="1"/>
  <c r="N124" i="1"/>
  <c r="N113" i="1"/>
  <c r="N101" i="1"/>
  <c r="N89" i="1"/>
  <c r="N77" i="1"/>
  <c r="N65" i="1"/>
  <c r="N53" i="1"/>
  <c r="N41" i="1"/>
  <c r="N29" i="1"/>
  <c r="N18" i="1"/>
  <c r="N6" i="1"/>
  <c r="N105" i="1"/>
  <c r="N22" i="1"/>
  <c r="N56" i="1"/>
  <c r="N126" i="1"/>
  <c r="N79" i="1"/>
  <c r="N43" i="1"/>
  <c r="N20" i="1"/>
  <c r="N123" i="1"/>
  <c r="N112" i="1"/>
  <c r="N100" i="1"/>
  <c r="N88" i="1"/>
  <c r="N76" i="1"/>
  <c r="N64" i="1"/>
  <c r="N52" i="1"/>
  <c r="N40" i="1"/>
  <c r="N17" i="1"/>
  <c r="N5" i="1"/>
  <c r="N117" i="1"/>
  <c r="N33" i="1"/>
  <c r="N9" i="1"/>
  <c r="N91" i="1"/>
  <c r="N122" i="1"/>
  <c r="N111" i="1"/>
  <c r="N99" i="1"/>
  <c r="N87" i="1"/>
  <c r="N75" i="1"/>
  <c r="N63" i="1"/>
  <c r="N51" i="1"/>
  <c r="N39" i="1"/>
  <c r="N28" i="1"/>
  <c r="N16" i="1"/>
  <c r="N4" i="1"/>
  <c r="N110" i="1"/>
  <c r="N98" i="1"/>
  <c r="N86" i="1"/>
  <c r="N74" i="1"/>
  <c r="N62" i="1"/>
  <c r="N50" i="1"/>
  <c r="N38" i="1"/>
  <c r="N27" i="1"/>
  <c r="N15" i="1"/>
  <c r="N3" i="1"/>
  <c r="N128" i="1"/>
  <c r="N57" i="1"/>
  <c r="N80" i="1"/>
  <c r="N132" i="1"/>
  <c r="N97" i="1"/>
  <c r="N49" i="1"/>
  <c r="N26" i="1"/>
  <c r="N14" i="1"/>
  <c r="N2" i="1"/>
  <c r="N69" i="1"/>
  <c r="N116" i="1"/>
  <c r="N32" i="1"/>
  <c r="N109" i="1"/>
  <c r="N73" i="1"/>
  <c r="N131" i="1"/>
  <c r="N108" i="1"/>
  <c r="N84" i="1"/>
  <c r="N71" i="1"/>
  <c r="J33" i="1" a="1"/>
  <c r="J33" i="1" s="1"/>
  <c r="J91" i="1" a="1"/>
  <c r="J91" i="1" s="1"/>
  <c r="N119" i="1"/>
  <c r="N13" i="1"/>
  <c r="N118" i="1"/>
  <c r="N59" i="1"/>
  <c r="N24" i="1"/>
  <c r="N34" i="1"/>
  <c r="N60" i="1"/>
  <c r="N92" i="1"/>
  <c r="N130" i="1"/>
  <c r="N48" i="1"/>
  <c r="N106" i="1"/>
  <c r="N70" i="1"/>
  <c r="N12" i="1"/>
  <c r="N25" i="1"/>
  <c r="J4" i="1" a="1"/>
  <c r="J4" i="1" s="1"/>
  <c r="J5" i="1" a="1"/>
  <c r="J5" i="1" s="1"/>
  <c r="N129" i="1"/>
  <c r="N82" i="1"/>
  <c r="N35" i="1"/>
  <c r="N7" i="1"/>
  <c r="N107" i="1"/>
  <c r="N36" i="1"/>
  <c r="N94" i="1"/>
  <c r="N47" i="1"/>
  <c r="J57" i="1" a="1"/>
  <c r="J57" i="1" s="1"/>
  <c r="J10" i="1" a="1"/>
  <c r="J10" i="1" s="1"/>
  <c r="N95" i="1"/>
  <c r="J45" i="1" a="1"/>
  <c r="J45" i="1" s="1"/>
  <c r="J103" i="1" a="1"/>
  <c r="J103" i="1" s="1"/>
  <c r="J67" i="1" a="1"/>
  <c r="J67" i="1" s="1"/>
  <c r="J22" i="1" a="1"/>
  <c r="J22" i="1" s="1"/>
  <c r="J115" i="1" a="1"/>
  <c r="J115" i="1" s="1"/>
  <c r="J79" i="1" a="1"/>
  <c r="J79" i="1" s="1"/>
  <c r="J2" i="1" a="1"/>
  <c r="J2" i="1" s="1"/>
  <c r="J42" i="1" a="1"/>
  <c r="J42" i="1" s="1"/>
  <c r="J126" i="1" a="1"/>
  <c r="J126" i="1" s="1"/>
  <c r="J114" i="1" a="1"/>
  <c r="J114" i="1" s="1"/>
  <c r="J102" i="1" a="1"/>
  <c r="J102" i="1" s="1"/>
  <c r="J90" i="1" a="1"/>
  <c r="J90" i="1" s="1"/>
  <c r="J78" i="1" a="1"/>
  <c r="J78" i="1" s="1"/>
  <c r="J66" i="1" a="1"/>
  <c r="J66" i="1" s="1"/>
  <c r="J56" i="1" a="1"/>
  <c r="J56" i="1" s="1"/>
  <c r="J44" i="1" a="1"/>
  <c r="J44" i="1" s="1"/>
  <c r="J32" i="1" a="1"/>
  <c r="J32" i="1" s="1"/>
  <c r="J21" i="1" a="1"/>
  <c r="J21" i="1" s="1"/>
  <c r="J9" i="1" a="1"/>
  <c r="J9" i="1" s="1"/>
  <c r="J64" i="1" a="1"/>
  <c r="J64" i="1" s="1"/>
  <c r="J7" i="1" a="1"/>
  <c r="J7" i="1" s="1"/>
  <c r="J125" i="1" a="1"/>
  <c r="J125" i="1" s="1"/>
  <c r="J113" i="1" a="1"/>
  <c r="J113" i="1" s="1"/>
  <c r="J101" i="1" a="1"/>
  <c r="J101" i="1" s="1"/>
  <c r="J89" i="1" a="1"/>
  <c r="J89" i="1" s="1"/>
  <c r="J77" i="1" a="1"/>
  <c r="J77" i="1" s="1"/>
  <c r="J65" i="1" a="1"/>
  <c r="J65" i="1" s="1"/>
  <c r="J55" i="1" a="1"/>
  <c r="J55" i="1" s="1"/>
  <c r="J43" i="1" a="1"/>
  <c r="J43" i="1" s="1"/>
  <c r="J31" i="1" a="1"/>
  <c r="J31" i="1" s="1"/>
  <c r="J20" i="1" a="1"/>
  <c r="J20" i="1" s="1"/>
  <c r="J8" i="1" a="1"/>
  <c r="J8" i="1" s="1"/>
  <c r="J88" i="1" a="1"/>
  <c r="J88" i="1" s="1"/>
  <c r="J19" i="1" a="1"/>
  <c r="J19" i="1" s="1"/>
  <c r="J123" i="1" a="1"/>
  <c r="J123" i="1" s="1"/>
  <c r="J111" i="1" a="1"/>
  <c r="J111" i="1" s="1"/>
  <c r="J99" i="1" a="1"/>
  <c r="J99" i="1" s="1"/>
  <c r="J87" i="1" a="1"/>
  <c r="J87" i="1" s="1"/>
  <c r="J75" i="1" a="1"/>
  <c r="J75" i="1" s="1"/>
  <c r="J53" i="1" a="1"/>
  <c r="J53" i="1" s="1"/>
  <c r="J41" i="1" a="1"/>
  <c r="J41" i="1" s="1"/>
  <c r="J29" i="1" a="1"/>
  <c r="J29" i="1" s="1"/>
  <c r="J18" i="1" a="1"/>
  <c r="J18" i="1" s="1"/>
  <c r="J6" i="1" a="1"/>
  <c r="J6" i="1" s="1"/>
  <c r="J54" i="1" a="1"/>
  <c r="J54" i="1" s="1"/>
  <c r="J122" i="1" a="1"/>
  <c r="J122" i="1" s="1"/>
  <c r="J110" i="1" a="1"/>
  <c r="J110" i="1" s="1"/>
  <c r="J98" i="1" a="1"/>
  <c r="J98" i="1" s="1"/>
  <c r="J86" i="1" a="1"/>
  <c r="J86" i="1" s="1"/>
  <c r="J74" i="1" a="1"/>
  <c r="J74" i="1" s="1"/>
  <c r="J63" i="1" a="1"/>
  <c r="J63" i="1" s="1"/>
  <c r="J52" i="1" a="1"/>
  <c r="J52" i="1" s="1"/>
  <c r="J40" i="1" a="1"/>
  <c r="J40" i="1" s="1"/>
  <c r="J17" i="1" a="1"/>
  <c r="J17" i="1" s="1"/>
  <c r="J112" i="1" a="1"/>
  <c r="J112" i="1" s="1"/>
  <c r="J30" i="1" a="1"/>
  <c r="J30" i="1" s="1"/>
  <c r="J121" i="1" a="1"/>
  <c r="J121" i="1" s="1"/>
  <c r="J109" i="1" a="1"/>
  <c r="J109" i="1" s="1"/>
  <c r="J97" i="1" a="1"/>
  <c r="J97" i="1" s="1"/>
  <c r="J85" i="1" a="1"/>
  <c r="J85" i="1" s="1"/>
  <c r="J73" i="1" a="1"/>
  <c r="J73" i="1" s="1"/>
  <c r="J62" i="1" a="1"/>
  <c r="J62" i="1" s="1"/>
  <c r="J51" i="1" a="1"/>
  <c r="J51" i="1" s="1"/>
  <c r="J39" i="1" a="1"/>
  <c r="J39" i="1" s="1"/>
  <c r="J28" i="1" a="1"/>
  <c r="J28" i="1" s="1"/>
  <c r="J16" i="1" a="1"/>
  <c r="J16" i="1" s="1"/>
  <c r="J132" i="1" a="1"/>
  <c r="J132" i="1" s="1"/>
  <c r="J120" i="1" a="1"/>
  <c r="J120" i="1" s="1"/>
  <c r="J108" i="1" a="1"/>
  <c r="J108" i="1" s="1"/>
  <c r="J96" i="1" a="1"/>
  <c r="J96" i="1" s="1"/>
  <c r="J84" i="1" a="1"/>
  <c r="J84" i="1" s="1"/>
  <c r="J72" i="1" a="1"/>
  <c r="J72" i="1" s="1"/>
  <c r="J61" i="1" a="1"/>
  <c r="J61" i="1" s="1"/>
  <c r="J50" i="1" a="1"/>
  <c r="J50" i="1" s="1"/>
  <c r="J38" i="1" a="1"/>
  <c r="J38" i="1" s="1"/>
  <c r="J27" i="1" a="1"/>
  <c r="J27" i="1" s="1"/>
  <c r="J15" i="1" a="1"/>
  <c r="J15" i="1" s="1"/>
  <c r="J131" i="1" a="1"/>
  <c r="J131" i="1" s="1"/>
  <c r="J119" i="1" a="1"/>
  <c r="J119" i="1" s="1"/>
  <c r="J107" i="1" a="1"/>
  <c r="J107" i="1" s="1"/>
  <c r="J95" i="1" a="1"/>
  <c r="J95" i="1" s="1"/>
  <c r="J83" i="1" a="1"/>
  <c r="J83" i="1" s="1"/>
  <c r="J71" i="1" a="1"/>
  <c r="J71" i="1" s="1"/>
  <c r="J49" i="1" a="1"/>
  <c r="J49" i="1" s="1"/>
  <c r="J37" i="1" a="1"/>
  <c r="J37" i="1" s="1"/>
  <c r="J26" i="1" a="1"/>
  <c r="J26" i="1" s="1"/>
  <c r="J14" i="1" a="1"/>
  <c r="J14" i="1" s="1"/>
  <c r="J76" i="1" a="1"/>
  <c r="J76" i="1" s="1"/>
  <c r="J118" i="1" a="1"/>
  <c r="J118" i="1" s="1"/>
  <c r="J106" i="1" a="1"/>
  <c r="J106" i="1" s="1"/>
  <c r="J94" i="1" a="1"/>
  <c r="J94" i="1" s="1"/>
  <c r="J82" i="1" a="1"/>
  <c r="J82" i="1" s="1"/>
  <c r="J70" i="1" a="1"/>
  <c r="J70" i="1" s="1"/>
  <c r="J60" i="1" a="1"/>
  <c r="J60" i="1" s="1"/>
  <c r="J48" i="1" a="1"/>
  <c r="J48" i="1" s="1"/>
  <c r="J36" i="1" a="1"/>
  <c r="J36" i="1" s="1"/>
  <c r="J25" i="1" a="1"/>
  <c r="J25" i="1" s="1"/>
  <c r="J13" i="1" a="1"/>
  <c r="J13" i="1" s="1"/>
  <c r="J124" i="1" a="1"/>
  <c r="J124" i="1" s="1"/>
  <c r="J129" i="1" a="1"/>
  <c r="J129" i="1" s="1"/>
  <c r="J117" i="1" a="1"/>
  <c r="J117" i="1" s="1"/>
  <c r="J105" i="1" a="1"/>
  <c r="J105" i="1" s="1"/>
  <c r="J93" i="1" a="1"/>
  <c r="J93" i="1" s="1"/>
  <c r="J81" i="1" a="1"/>
  <c r="J81" i="1" s="1"/>
  <c r="J69" i="1" a="1"/>
  <c r="J69" i="1" s="1"/>
  <c r="J59" i="1" a="1"/>
  <c r="J59" i="1" s="1"/>
  <c r="J47" i="1" a="1"/>
  <c r="J47" i="1" s="1"/>
  <c r="J35" i="1" a="1"/>
  <c r="J35" i="1" s="1"/>
  <c r="J24" i="1" a="1"/>
  <c r="J24" i="1" s="1"/>
  <c r="J12" i="1" a="1"/>
  <c r="J12" i="1" s="1"/>
  <c r="J100" i="1" a="1"/>
  <c r="J100" i="1" s="1"/>
  <c r="J128" i="1" a="1"/>
  <c r="J128" i="1" s="1"/>
  <c r="J116" i="1" a="1"/>
  <c r="J116" i="1" s="1"/>
  <c r="J104" i="1" a="1"/>
  <c r="J104" i="1" s="1"/>
  <c r="J92" i="1" a="1"/>
  <c r="J92" i="1" s="1"/>
  <c r="J80" i="1" a="1"/>
  <c r="J80" i="1" s="1"/>
  <c r="J68" i="1" a="1"/>
  <c r="J68" i="1" s="1"/>
  <c r="J58" i="1" a="1"/>
  <c r="J58" i="1" s="1"/>
  <c r="J46" i="1" a="1"/>
  <c r="J46" i="1" s="1"/>
  <c r="J34" i="1" a="1"/>
  <c r="J34" i="1" s="1"/>
  <c r="J23" i="1" a="1"/>
  <c r="J23" i="1" s="1"/>
  <c r="J130" i="1" a="1"/>
  <c r="J130" i="1" s="1"/>
  <c r="J127" i="1" a="1"/>
  <c r="J1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<sst xmlns="http://schemas.openxmlformats.org/spreadsheetml/2006/main" count="759" uniqueCount="519">
  <si>
    <t>Timestamp</t>
  </si>
  <si>
    <t>Prénom</t>
  </si>
  <si>
    <t>Email</t>
  </si>
  <si>
    <t>Nom</t>
  </si>
  <si>
    <t>Date de naissance</t>
  </si>
  <si>
    <t>Réglement</t>
  </si>
  <si>
    <t>Téléphone</t>
  </si>
  <si>
    <t>Team</t>
  </si>
  <si>
    <t>Comments</t>
  </si>
  <si>
    <t>Helori</t>
  </si>
  <si>
    <t>heloril@outlook.com</t>
  </si>
  <si>
    <t>Lamberty</t>
  </si>
  <si>
    <t>Je certifie avoir lu et accepté le règlement du challenge</t>
  </si>
  <si>
    <t>0499677452</t>
  </si>
  <si>
    <t>Hors Stade</t>
  </si>
  <si>
    <t>Michel</t>
  </si>
  <si>
    <t>mancini.michel@gmail.com</t>
  </si>
  <si>
    <t>Mancini</t>
  </si>
  <si>
    <t>0496472326</t>
  </si>
  <si>
    <t>Ludovic</t>
  </si>
  <si>
    <t>ludo.marchal@gmail.com</t>
  </si>
  <si>
    <t xml:space="preserve">Marchal </t>
  </si>
  <si>
    <t xml:space="preserve">Rachel </t>
  </si>
  <si>
    <t>rachelnibonara@gmail.com</t>
  </si>
  <si>
    <t xml:space="preserve">Nibona </t>
  </si>
  <si>
    <t>0476798892</t>
  </si>
  <si>
    <t xml:space="preserve">Daniel </t>
  </si>
  <si>
    <t>daniel.immoans@gmail.com</t>
  </si>
  <si>
    <t xml:space="preserve">Van Larken </t>
  </si>
  <si>
    <t>0475729117</t>
  </si>
  <si>
    <t>TTRS</t>
  </si>
  <si>
    <t xml:space="preserve">Rémi </t>
  </si>
  <si>
    <t>remi_fabry@hotmail.com</t>
  </si>
  <si>
    <t>Fabry</t>
  </si>
  <si>
    <t>0495884958</t>
  </si>
  <si>
    <t>Cindy</t>
  </si>
  <si>
    <t>cindsimon@gmail.com</t>
  </si>
  <si>
    <t>Simon</t>
  </si>
  <si>
    <t>0474391561</t>
  </si>
  <si>
    <t xml:space="preserve">Emmanuel </t>
  </si>
  <si>
    <t>emmanuel_cola@yahoo.fr</t>
  </si>
  <si>
    <t>Cola</t>
  </si>
  <si>
    <t>0484951580</t>
  </si>
  <si>
    <t>TIMS</t>
  </si>
  <si>
    <t>Manon</t>
  </si>
  <si>
    <t>manon.lamb1506@gmail.com</t>
  </si>
  <si>
    <t xml:space="preserve">Lamberty </t>
  </si>
  <si>
    <t>0470932333</t>
  </si>
  <si>
    <t>Juan</t>
  </si>
  <si>
    <t>juanpardogarcia@gmail.com</t>
  </si>
  <si>
    <t xml:space="preserve">Pardo Garcia </t>
  </si>
  <si>
    <t>0495819726</t>
  </si>
  <si>
    <t xml:space="preserve">Sébastien </t>
  </si>
  <si>
    <t>sebastien.duhr@gmail.com</t>
  </si>
  <si>
    <t>Duhr</t>
  </si>
  <si>
    <t>0496495624</t>
  </si>
  <si>
    <t xml:space="preserve">Rosario </t>
  </si>
  <si>
    <t>rosario.loforte@skynet.be</t>
  </si>
  <si>
    <t xml:space="preserve">LOFORTE </t>
  </si>
  <si>
    <t>0472220436</t>
  </si>
  <si>
    <t>Pierre</t>
  </si>
  <si>
    <t>pierrebordonaro@hotmail.com</t>
  </si>
  <si>
    <t>Bordonaro</t>
  </si>
  <si>
    <t>0498197454</t>
  </si>
  <si>
    <t xml:space="preserve">Luigi </t>
  </si>
  <si>
    <t>luigi.saggiorato@gmail.com</t>
  </si>
  <si>
    <t xml:space="preserve">Saggiorato </t>
  </si>
  <si>
    <t>0496511349</t>
  </si>
  <si>
    <t xml:space="preserve">Serunners </t>
  </si>
  <si>
    <t>Laurane</t>
  </si>
  <si>
    <t>Laurana999@hotmail.com</t>
  </si>
  <si>
    <t>Sottiaux</t>
  </si>
  <si>
    <t>0474633512</t>
  </si>
  <si>
    <t>david</t>
  </si>
  <si>
    <t>dgoessens@gmail.com</t>
  </si>
  <si>
    <t>goessens</t>
  </si>
  <si>
    <t>0496765354</t>
  </si>
  <si>
    <t>fabrizio</t>
  </si>
  <si>
    <t>fabrizio.pedata@gmail.com</t>
  </si>
  <si>
    <t>pedata</t>
  </si>
  <si>
    <t>seraing athletisme</t>
  </si>
  <si>
    <t>Yoann</t>
  </si>
  <si>
    <t>essabri.yoann@hotmail.com</t>
  </si>
  <si>
    <t xml:space="preserve">Essabri </t>
  </si>
  <si>
    <t xml:space="preserve">Vipère </t>
  </si>
  <si>
    <t xml:space="preserve">ERICA </t>
  </si>
  <si>
    <t>erica_raschella@hotmail.com</t>
  </si>
  <si>
    <t xml:space="preserve">RASCHELLA </t>
  </si>
  <si>
    <t>0478263336</t>
  </si>
  <si>
    <t xml:space="preserve">Suzanne </t>
  </si>
  <si>
    <t>suzannedemonceau@hotmail.fr</t>
  </si>
  <si>
    <t xml:space="preserve">Demonceau </t>
  </si>
  <si>
    <t xml:space="preserve">0496.87.00.35 </t>
  </si>
  <si>
    <t xml:space="preserve">Ludivine </t>
  </si>
  <si>
    <t>vandeweyerludivine@gmail.com</t>
  </si>
  <si>
    <t xml:space="preserve">Vandeweyer </t>
  </si>
  <si>
    <t>0479794438</t>
  </si>
  <si>
    <t>Seraing Runners</t>
  </si>
  <si>
    <t>Tanina</t>
  </si>
  <si>
    <t>nearnog@outlook.be</t>
  </si>
  <si>
    <t xml:space="preserve">Nearno </t>
  </si>
  <si>
    <t>0486248995</t>
  </si>
  <si>
    <t>DD Team</t>
  </si>
  <si>
    <t xml:space="preserve">Vanessa </t>
  </si>
  <si>
    <t>meisevanessa@outlook.be</t>
  </si>
  <si>
    <t xml:space="preserve">Meise </t>
  </si>
  <si>
    <t>0455119086</t>
  </si>
  <si>
    <t xml:space="preserve">Aline </t>
  </si>
  <si>
    <t>bouhonaline@gmail.com</t>
  </si>
  <si>
    <t>Bouhon</t>
  </si>
  <si>
    <t>0496/35.74.66</t>
  </si>
  <si>
    <t xml:space="preserve">Antonio </t>
  </si>
  <si>
    <t>antonio.nearno@gmail.com</t>
  </si>
  <si>
    <t xml:space="preserve">0499 19 76 48 </t>
  </si>
  <si>
    <t xml:space="preserve">Stéphanie </t>
  </si>
  <si>
    <t>s.martelange@gmail.com</t>
  </si>
  <si>
    <t xml:space="preserve">Martelange </t>
  </si>
  <si>
    <t>0496780546</t>
  </si>
  <si>
    <t>Sophie</t>
  </si>
  <si>
    <t>dumontsophie1@gmail.com</t>
  </si>
  <si>
    <t>Dumont</t>
  </si>
  <si>
    <t xml:space="preserve">0494 72 39 60 </t>
  </si>
  <si>
    <t>kenisjp@gmail.com</t>
  </si>
  <si>
    <t xml:space="preserve">0474 48 77 91 </t>
  </si>
  <si>
    <t>LSTT</t>
  </si>
  <si>
    <t>Laurent</t>
  </si>
  <si>
    <t>laurent.renkin@gmail.com</t>
  </si>
  <si>
    <t>Renkin</t>
  </si>
  <si>
    <t>0491228141</t>
  </si>
  <si>
    <t xml:space="preserve">Seraing Athlétisme </t>
  </si>
  <si>
    <t>Rudy</t>
  </si>
  <si>
    <t>rurudydy@hotmail.com</t>
  </si>
  <si>
    <t>Deflandre</t>
  </si>
  <si>
    <t>Carine</t>
  </si>
  <si>
    <t>carine.veneziano@gmail.com</t>
  </si>
  <si>
    <t>Veneziano</t>
  </si>
  <si>
    <t>+32497032804</t>
  </si>
  <si>
    <t xml:space="preserve">Isabelle </t>
  </si>
  <si>
    <t>isabelle.houyon2@gmail.com</t>
  </si>
  <si>
    <t>Houyon</t>
  </si>
  <si>
    <t>0491253195</t>
  </si>
  <si>
    <t xml:space="preserve">Jean Luc </t>
  </si>
  <si>
    <t>fjlbaby@hotmail.com</t>
  </si>
  <si>
    <t xml:space="preserve">Friedrich </t>
  </si>
  <si>
    <t>Sonia</t>
  </si>
  <si>
    <t>beaumontsonia@hotmail.com</t>
  </si>
  <si>
    <t xml:space="preserve">Beaumont </t>
  </si>
  <si>
    <t>0496458559</t>
  </si>
  <si>
    <t xml:space="preserve">Laurent </t>
  </si>
  <si>
    <t>ltroquette@hotmail.com</t>
  </si>
  <si>
    <t xml:space="preserve">Troquette </t>
  </si>
  <si>
    <t>c.munaut@gmail.com</t>
  </si>
  <si>
    <t>Munaut</t>
  </si>
  <si>
    <t>0486705700</t>
  </si>
  <si>
    <t>danielklarzynski10@gmail.com</t>
  </si>
  <si>
    <t xml:space="preserve">Klarzynski </t>
  </si>
  <si>
    <t>Megamix seraing</t>
  </si>
  <si>
    <t xml:space="preserve">Massimo </t>
  </si>
  <si>
    <t>ragusa-massimo@hotmail.com</t>
  </si>
  <si>
    <t xml:space="preserve">Ragusa </t>
  </si>
  <si>
    <t xml:space="preserve">Amis </t>
  </si>
  <si>
    <t>GIUSEPPE</t>
  </si>
  <si>
    <t>Joseph.puma81@gmail.com</t>
  </si>
  <si>
    <t>PUMA</t>
  </si>
  <si>
    <t xml:space="preserve">Roberto </t>
  </si>
  <si>
    <t>alboresroberto@gmail.com</t>
  </si>
  <si>
    <t xml:space="preserve">Albores </t>
  </si>
  <si>
    <t>+32 485 38 61 99</t>
  </si>
  <si>
    <t>isa03031973@hotmail.fr</t>
  </si>
  <si>
    <t xml:space="preserve">Gurny </t>
  </si>
  <si>
    <t>0495782546</t>
  </si>
  <si>
    <t xml:space="preserve">Evans </t>
  </si>
  <si>
    <t>evansj1968@hotmail.com</t>
  </si>
  <si>
    <t xml:space="preserve">Jacques </t>
  </si>
  <si>
    <t>0475/908498</t>
  </si>
  <si>
    <t xml:space="preserve">Mario </t>
  </si>
  <si>
    <t>mario.fortunato08@gmail.com</t>
  </si>
  <si>
    <t xml:space="preserve">Fortunato </t>
  </si>
  <si>
    <t>0478156605</t>
  </si>
  <si>
    <t>Cymon</t>
  </si>
  <si>
    <t>cymon.birtles@gmail.com</t>
  </si>
  <si>
    <t>Birtles</t>
  </si>
  <si>
    <t xml:space="preserve">Patricia </t>
  </si>
  <si>
    <t>patricia.pagnoul@gmail.com</t>
  </si>
  <si>
    <t>Pagnoul</t>
  </si>
  <si>
    <t>0496242900</t>
  </si>
  <si>
    <t xml:space="preserve">Seraing athlétisme </t>
  </si>
  <si>
    <t>Bert</t>
  </si>
  <si>
    <t>890bsd@gmail.com</t>
  </si>
  <si>
    <t xml:space="preserve">ERNEST </t>
  </si>
  <si>
    <t xml:space="preserve">Patrick </t>
  </si>
  <si>
    <t>patrick.tixhon@live.be</t>
  </si>
  <si>
    <t xml:space="preserve">Tixhon </t>
  </si>
  <si>
    <t xml:space="preserve">0492 79 80 30 </t>
  </si>
  <si>
    <t xml:space="preserve">SERAING RUNNERS </t>
  </si>
  <si>
    <t xml:space="preserve">Giovanna </t>
  </si>
  <si>
    <t>giovannapillitteri40@gmail.com</t>
  </si>
  <si>
    <t xml:space="preserve">Pillitteri </t>
  </si>
  <si>
    <t>0474772483</t>
  </si>
  <si>
    <t xml:space="preserve">Monique </t>
  </si>
  <si>
    <t>babouche2002@hotmail.com</t>
  </si>
  <si>
    <t xml:space="preserve">Nizet </t>
  </si>
  <si>
    <t>+32491364437</t>
  </si>
  <si>
    <t xml:space="preserve">Faut il de l'expérience ou débutant accepté </t>
  </si>
  <si>
    <t xml:space="preserve">Alain </t>
  </si>
  <si>
    <t>alainmarchal65@gmail.com</t>
  </si>
  <si>
    <t>Jean marc</t>
  </si>
  <si>
    <t>Jean.marc.cuccuru@outlook.be</t>
  </si>
  <si>
    <t>Cuccuru</t>
  </si>
  <si>
    <t>0498197539</t>
  </si>
  <si>
    <t>Honorina</t>
  </si>
  <si>
    <t xml:space="preserve">Szwajkajzer </t>
  </si>
  <si>
    <t>0472579445</t>
  </si>
  <si>
    <t>Solange</t>
  </si>
  <si>
    <t>mariontheo01@gmail.com</t>
  </si>
  <si>
    <t>Antoine</t>
  </si>
  <si>
    <t xml:space="preserve">0478 69 38 54 </t>
  </si>
  <si>
    <t xml:space="preserve">Antonella </t>
  </si>
  <si>
    <t>g-ferro7@hotmail.com</t>
  </si>
  <si>
    <t xml:space="preserve">Castiglione </t>
  </si>
  <si>
    <t>0498232379</t>
  </si>
  <si>
    <t>Didier</t>
  </si>
  <si>
    <t>didierlopez1971@hotmail.be</t>
  </si>
  <si>
    <t>Lopez Nava</t>
  </si>
  <si>
    <t>0491369992</t>
  </si>
  <si>
    <t>SERATHL</t>
  </si>
  <si>
    <t>Marianne</t>
  </si>
  <si>
    <t>marianne.dumont27@outlook.be</t>
  </si>
  <si>
    <t>0491362017</t>
  </si>
  <si>
    <t>Anael</t>
  </si>
  <si>
    <t>argento_an@hotmail.com</t>
  </si>
  <si>
    <t>Argento</t>
  </si>
  <si>
    <t>0494421235</t>
  </si>
  <si>
    <t xml:space="preserve">Anael </t>
  </si>
  <si>
    <t>Kamal</t>
  </si>
  <si>
    <t>zigkam11@live.fr</t>
  </si>
  <si>
    <t>AZZOUZ</t>
  </si>
  <si>
    <t xml:space="preserve">Raphaël </t>
  </si>
  <si>
    <t>raphael.heins@gmail.com</t>
  </si>
  <si>
    <t>Heins</t>
  </si>
  <si>
    <t>0477759789</t>
  </si>
  <si>
    <t>Seraing Athletisme</t>
  </si>
  <si>
    <t>Thibaut</t>
  </si>
  <si>
    <t>thibaut_thomassin@hotmail.com</t>
  </si>
  <si>
    <t>Thomassin</t>
  </si>
  <si>
    <t>0472522410</t>
  </si>
  <si>
    <t xml:space="preserve">Carine </t>
  </si>
  <si>
    <t>pomikareen@hotmail.com</t>
  </si>
  <si>
    <t xml:space="preserve">Makindo Pomi </t>
  </si>
  <si>
    <t>0493476419</t>
  </si>
  <si>
    <t xml:space="preserve">Michel </t>
  </si>
  <si>
    <t>michel.gruslin@skynet.be</t>
  </si>
  <si>
    <t xml:space="preserve">Gruslin </t>
  </si>
  <si>
    <t xml:space="preserve">Eric </t>
  </si>
  <si>
    <t>ericfirquet@hotmail.com</t>
  </si>
  <si>
    <t xml:space="preserve">Firquet </t>
  </si>
  <si>
    <t>0495276940</t>
  </si>
  <si>
    <t>Roland</t>
  </si>
  <si>
    <t>rolandkup@gmail.com</t>
  </si>
  <si>
    <t>KUPPER</t>
  </si>
  <si>
    <t xml:space="preserve">Guénaël </t>
  </si>
  <si>
    <t>gwendevil@hotmail.com</t>
  </si>
  <si>
    <t>Devillet</t>
  </si>
  <si>
    <t>0492774444</t>
  </si>
  <si>
    <t xml:space="preserve">Molitor </t>
  </si>
  <si>
    <t>nmolitor@hotmail.com</t>
  </si>
  <si>
    <t xml:space="preserve">Nathalie </t>
  </si>
  <si>
    <t>0497607825</t>
  </si>
  <si>
    <t>Frédérique</t>
  </si>
  <si>
    <t>fredcarpediem@yahoo.fr</t>
  </si>
  <si>
    <t>Delmotte</t>
  </si>
  <si>
    <t>Olivier</t>
  </si>
  <si>
    <t>olivier.coppenolle@gmail.com</t>
  </si>
  <si>
    <t>Coppenolle</t>
  </si>
  <si>
    <t>0497639201</t>
  </si>
  <si>
    <t>toniar4460@gmail.com</t>
  </si>
  <si>
    <t xml:space="preserve">Rapagna </t>
  </si>
  <si>
    <t>0477645211</t>
  </si>
  <si>
    <t>laurent.maes80@gmail.com</t>
  </si>
  <si>
    <t>Maes</t>
  </si>
  <si>
    <t xml:space="preserve">0477 43 78 42 </t>
  </si>
  <si>
    <t>La Casa</t>
  </si>
  <si>
    <t>Marie Jeanne</t>
  </si>
  <si>
    <t>mariejeanne.masy@gmail.com</t>
  </si>
  <si>
    <t>de bournonville Masy</t>
  </si>
  <si>
    <t>+32496513555</t>
  </si>
  <si>
    <t>Run in Liège</t>
  </si>
  <si>
    <t xml:space="preserve">Liam </t>
  </si>
  <si>
    <t>schutzliam081@gmail.com</t>
  </si>
  <si>
    <t>Schutz</t>
  </si>
  <si>
    <t>0455134857</t>
  </si>
  <si>
    <t xml:space="preserve">Véronique </t>
  </si>
  <si>
    <t>veronique.docquier@hotmail.com</t>
  </si>
  <si>
    <t xml:space="preserve">Docquier </t>
  </si>
  <si>
    <t>0472/842032</t>
  </si>
  <si>
    <t>Victor</t>
  </si>
  <si>
    <t>victorleon5@hotmail.com</t>
  </si>
  <si>
    <t>Leon</t>
  </si>
  <si>
    <t>0486779468</t>
  </si>
  <si>
    <t>Nicolas</t>
  </si>
  <si>
    <t>devos.nicolas1@gmail.com</t>
  </si>
  <si>
    <t>De Vos</t>
  </si>
  <si>
    <t>0499965569</t>
  </si>
  <si>
    <t xml:space="preserve">Julien </t>
  </si>
  <si>
    <t>julienbayonnet@hotmail.com</t>
  </si>
  <si>
    <t xml:space="preserve">Bayonnet </t>
  </si>
  <si>
    <t>0494137957</t>
  </si>
  <si>
    <t>Xavier</t>
  </si>
  <si>
    <t>xavier.magonette@hotmail.com</t>
  </si>
  <si>
    <t>Magonette</t>
  </si>
  <si>
    <t>XRunMove Trail</t>
  </si>
  <si>
    <t>Florence</t>
  </si>
  <si>
    <t>florencesomja@hotmail.com</t>
  </si>
  <si>
    <t>SOMJA</t>
  </si>
  <si>
    <t>0477393122</t>
  </si>
  <si>
    <t>Jog'in Attitude</t>
  </si>
  <si>
    <t>Hugues</t>
  </si>
  <si>
    <t>hugues.botquin@minfin.fed.be</t>
  </si>
  <si>
    <t>BOTQUIN</t>
  </si>
  <si>
    <t>0473228660</t>
  </si>
  <si>
    <t>Athois d'courir</t>
  </si>
  <si>
    <t xml:space="preserve">Christelle </t>
  </si>
  <si>
    <t>christelle.bailly@skynet.be</t>
  </si>
  <si>
    <t xml:space="preserve">Bailly </t>
  </si>
  <si>
    <t>Pascal</t>
  </si>
  <si>
    <t>lambottep@gmail.com</t>
  </si>
  <si>
    <t>Lambotte</t>
  </si>
  <si>
    <t>0474393644</t>
  </si>
  <si>
    <t>Jean-Marie</t>
  </si>
  <si>
    <t>jmgheury@gmail.com</t>
  </si>
  <si>
    <t>GHEURY</t>
  </si>
  <si>
    <t>0479279181</t>
  </si>
  <si>
    <t>daniel.dejong@resa.be</t>
  </si>
  <si>
    <t>Dejong</t>
  </si>
  <si>
    <t>0495595707</t>
  </si>
  <si>
    <t>Rosario</t>
  </si>
  <si>
    <t>rosario.scifo21@gmail.com</t>
  </si>
  <si>
    <t>Scifo</t>
  </si>
  <si>
    <t>0496373700</t>
  </si>
  <si>
    <t>oli.hemmer@gmail.com</t>
  </si>
  <si>
    <t>Hemmer</t>
  </si>
  <si>
    <t>+32497409058</t>
  </si>
  <si>
    <t>Francoise</t>
  </si>
  <si>
    <t>gaufausuc@gmail.com</t>
  </si>
  <si>
    <t>Piscart</t>
  </si>
  <si>
    <t>0498237475</t>
  </si>
  <si>
    <t xml:space="preserve">Didier </t>
  </si>
  <si>
    <t>didierrocks@yahoo.fr</t>
  </si>
  <si>
    <t xml:space="preserve">Rocks </t>
  </si>
  <si>
    <t>0498/63/01/02</t>
  </si>
  <si>
    <t xml:space="preserve">Van Den Blink </t>
  </si>
  <si>
    <t>vandenblinkeric@gmail.com</t>
  </si>
  <si>
    <t>0474417063</t>
  </si>
  <si>
    <t xml:space="preserve">Marie-France </t>
  </si>
  <si>
    <t>mflissoir@skynet.be</t>
  </si>
  <si>
    <t>LISSOIR</t>
  </si>
  <si>
    <t>0479586749</t>
  </si>
  <si>
    <t>RIL</t>
  </si>
  <si>
    <t>Nasser</t>
  </si>
  <si>
    <t>essab6362@yahoo.com</t>
  </si>
  <si>
    <t>Céline</t>
  </si>
  <si>
    <t>celinelega810@gmail.com</t>
  </si>
  <si>
    <t>Léga</t>
  </si>
  <si>
    <t>0476/65.76.22</t>
  </si>
  <si>
    <t>Claude</t>
  </si>
  <si>
    <t>claudelhe@yahoo.fr</t>
  </si>
  <si>
    <t>Delhez</t>
  </si>
  <si>
    <t>0498398506</t>
  </si>
  <si>
    <t>Run in Liege</t>
  </si>
  <si>
    <t>Benjamin</t>
  </si>
  <si>
    <t>makitagarmin@gmail.com</t>
  </si>
  <si>
    <t>ROBERT</t>
  </si>
  <si>
    <t>+32456372392</t>
  </si>
  <si>
    <t xml:space="preserve">Théo </t>
  </si>
  <si>
    <t>vr46@outlook.be</t>
  </si>
  <si>
    <t xml:space="preserve">Marien </t>
  </si>
  <si>
    <t>0494842993</t>
  </si>
  <si>
    <t xml:space="preserve">Run in Liège </t>
  </si>
  <si>
    <t xml:space="preserve">Djamel </t>
  </si>
  <si>
    <t>djamelbouzidi@hotmail.com</t>
  </si>
  <si>
    <t xml:space="preserve">Bouzidi </t>
  </si>
  <si>
    <t>rosario.mungiovi@gmail.com</t>
  </si>
  <si>
    <t xml:space="preserve">Mungiovi </t>
  </si>
  <si>
    <t>soupletmichel@hotmail.com</t>
  </si>
  <si>
    <t xml:space="preserve">Souplet </t>
  </si>
  <si>
    <t>0473363603</t>
  </si>
  <si>
    <t>Josiane</t>
  </si>
  <si>
    <t>josiane.stiernon57@gmail.com</t>
  </si>
  <si>
    <t>Stiernon</t>
  </si>
  <si>
    <t>0479541362</t>
  </si>
  <si>
    <t xml:space="preserve">Gilles </t>
  </si>
  <si>
    <t>gillesmelodie@gmail.com</t>
  </si>
  <si>
    <t>0493673386</t>
  </si>
  <si>
    <t>Robert</t>
  </si>
  <si>
    <t>robert.dupont@scarlet.be</t>
  </si>
  <si>
    <t>Dupont</t>
  </si>
  <si>
    <t>0475537549</t>
  </si>
  <si>
    <t xml:space="preserve">Alexandre </t>
  </si>
  <si>
    <t>alexandreberny@hotmail.com</t>
  </si>
  <si>
    <t xml:space="preserve">Berny </t>
  </si>
  <si>
    <t xml:space="preserve">0471 32 98 40 </t>
  </si>
  <si>
    <t xml:space="preserve">NRG spinning </t>
  </si>
  <si>
    <t>Elena</t>
  </si>
  <si>
    <t>ferroelena@hotmail.com</t>
  </si>
  <si>
    <t>Ferro</t>
  </si>
  <si>
    <t>0471370724</t>
  </si>
  <si>
    <t>/</t>
  </si>
  <si>
    <t xml:space="preserve">Vincenzo </t>
  </si>
  <si>
    <t>vincent.truscia@gmail.com</t>
  </si>
  <si>
    <t xml:space="preserve">Truscia </t>
  </si>
  <si>
    <t>0494701651</t>
  </si>
  <si>
    <t>Laura</t>
  </si>
  <si>
    <t>lauragaspard1992@gmail.com</t>
  </si>
  <si>
    <t>Gaspard</t>
  </si>
  <si>
    <t xml:space="preserve">Jérôme </t>
  </si>
  <si>
    <t>jerome.brocart@yahoo.fr</t>
  </si>
  <si>
    <t>Brocart</t>
  </si>
  <si>
    <t>0493779871</t>
  </si>
  <si>
    <t>Ingrid</t>
  </si>
  <si>
    <t>ingrid.busa@gmail.com</t>
  </si>
  <si>
    <t>Busa</t>
  </si>
  <si>
    <t>0479434281</t>
  </si>
  <si>
    <t xml:space="preserve">Philippe </t>
  </si>
  <si>
    <t>philippe-cupers@hotmail.com</t>
  </si>
  <si>
    <t xml:space="preserve">Cupers </t>
  </si>
  <si>
    <t>0496109819</t>
  </si>
  <si>
    <t>Team Somja</t>
  </si>
  <si>
    <t xml:space="preserve">Valérie </t>
  </si>
  <si>
    <t>valerie.mancini@outlook.com</t>
  </si>
  <si>
    <t xml:space="preserve">Mancini </t>
  </si>
  <si>
    <t xml:space="preserve">0476 74 75 22 </t>
  </si>
  <si>
    <t>Serunners</t>
  </si>
  <si>
    <t>belledemai1974@gmail.com</t>
  </si>
  <si>
    <t>Kech</t>
  </si>
  <si>
    <t>0476304321</t>
  </si>
  <si>
    <t>Gym42</t>
  </si>
  <si>
    <t xml:space="preserve">Céline </t>
  </si>
  <si>
    <t>celinemunos@yahoo.fr</t>
  </si>
  <si>
    <t>Munos</t>
  </si>
  <si>
    <t>Gilles</t>
  </si>
  <si>
    <t>hendriceg@gmail.com</t>
  </si>
  <si>
    <t>Hendricé</t>
  </si>
  <si>
    <t>+32494245890</t>
  </si>
  <si>
    <t xml:space="preserve">Caroline </t>
  </si>
  <si>
    <t>fekete.caroline@gmail.com</t>
  </si>
  <si>
    <t xml:space="preserve">Fekete </t>
  </si>
  <si>
    <t>o.thonon@gmail.com</t>
  </si>
  <si>
    <t>THONON</t>
  </si>
  <si>
    <t>0032474638089</t>
  </si>
  <si>
    <t>Monique</t>
  </si>
  <si>
    <t>moniquekeris@yahoo.fr</t>
  </si>
  <si>
    <t xml:space="preserve">Kéris </t>
  </si>
  <si>
    <t>0475742468</t>
  </si>
  <si>
    <t>Run In Liege</t>
  </si>
  <si>
    <t>Kenis</t>
  </si>
  <si>
    <t>Marc</t>
  </si>
  <si>
    <t>mhenry@voo.be</t>
  </si>
  <si>
    <t>Henry</t>
  </si>
  <si>
    <t>0032484327862</t>
  </si>
  <si>
    <t>Kemran</t>
  </si>
  <si>
    <t>kemran.il@hotmail.com</t>
  </si>
  <si>
    <t xml:space="preserve">Ilyasov </t>
  </si>
  <si>
    <t>+32489257213</t>
  </si>
  <si>
    <t>SER ATH</t>
  </si>
  <si>
    <t>Ali</t>
  </si>
  <si>
    <t>amokhles@hotmail.com</t>
  </si>
  <si>
    <t xml:space="preserve">Mokhles </t>
  </si>
  <si>
    <t xml:space="preserve">0495 81 85 27 </t>
  </si>
  <si>
    <t>jm.chudyba@gmail.com</t>
  </si>
  <si>
    <t>Chudyba</t>
  </si>
  <si>
    <t>0498 78 39 40</t>
  </si>
  <si>
    <t>RUN IN LIEGE</t>
  </si>
  <si>
    <t>manon.lambotte@hotmail.com</t>
  </si>
  <si>
    <t>0476894833</t>
  </si>
  <si>
    <t>Calogero</t>
  </si>
  <si>
    <t>Mauro</t>
  </si>
  <si>
    <t>0495444454</t>
  </si>
  <si>
    <t>Mohamed</t>
  </si>
  <si>
    <t>abdel_moh@hotmail.fr</t>
  </si>
  <si>
    <t>Abdelmoumni</t>
  </si>
  <si>
    <t>Lionel</t>
  </si>
  <si>
    <t>lionel.catoul@gmail.com</t>
  </si>
  <si>
    <t>Catoul</t>
  </si>
  <si>
    <t>0479802026</t>
  </si>
  <si>
    <t>philippe</t>
  </si>
  <si>
    <t>parfumerie.fabiola@gmail.com</t>
  </si>
  <si>
    <t>roi</t>
  </si>
  <si>
    <t>0495224676</t>
  </si>
  <si>
    <t xml:space="preserve">Aurélie </t>
  </si>
  <si>
    <t>auredeprez@hotmail.com</t>
  </si>
  <si>
    <t>Deprez</t>
  </si>
  <si>
    <t>0488343894</t>
  </si>
  <si>
    <t xml:space="preserve">Kalid </t>
  </si>
  <si>
    <t>Kalidoa@hotmail.com</t>
  </si>
  <si>
    <t xml:space="preserve">Lamchachti </t>
  </si>
  <si>
    <t xml:space="preserve">0495 68 30 40 </t>
  </si>
  <si>
    <t xml:space="preserve">Team Ampsin </t>
  </si>
  <si>
    <t>info@pbollen.be</t>
  </si>
  <si>
    <t>BOLLEN</t>
  </si>
  <si>
    <t>0475971832</t>
  </si>
  <si>
    <t>Michelle</t>
  </si>
  <si>
    <t>m.burhenne@skynet.be</t>
  </si>
  <si>
    <t>Burhenne</t>
  </si>
  <si>
    <t>0474-438500</t>
  </si>
  <si>
    <t xml:space="preserve">Jessica </t>
  </si>
  <si>
    <t>jessica.rap@hotmail.fr</t>
  </si>
  <si>
    <t>Rapagna</t>
  </si>
  <si>
    <t xml:space="preserve">0498 61 07 28 </t>
  </si>
  <si>
    <t>pinsart72@gmail.com</t>
  </si>
  <si>
    <t xml:space="preserve">PINSART </t>
  </si>
  <si>
    <t>0473124930</t>
  </si>
  <si>
    <t xml:space="preserve">Priscilla </t>
  </si>
  <si>
    <t>priscillafortunato@icloud.com</t>
  </si>
  <si>
    <t>0496713955</t>
  </si>
  <si>
    <t>Column1</t>
  </si>
  <si>
    <t>Column2</t>
  </si>
  <si>
    <t>Column3</t>
  </si>
  <si>
    <t>Jean-pol</t>
  </si>
  <si>
    <t>Melodie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</si>
</sst>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4" fontId="1" fillId="0" borderId="10" xfId="0" applyNumberFormat="1" applyFont="1" applyBorder="1" applyAlignment="1">
      <alignment vertical="center"/>
    </xf>
    <xf numFmtId="0" fontId="1" fillId="0" borderId="10" xfId="0" quotePrefix="1" applyFont="1" applyBorder="1" applyAlignment="1">
      <alignment vertical="center"/>
    </xf>
    <xf numFmtId="0" fontId="3" fillId="0" borderId="8" xfId="0" applyFont="1" applyBorder="1" applyAlignment="1">
      <alignment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L132">
  <tableColumns count="12">
    <tableColumn id="1" xr3:uid="{00000000-0010-0000-0000-000001000000}" name="Timestamp"/>
    <tableColumn id="2" xr3:uid="{00000000-0010-0000-0000-000002000000}" name="Prénom"/>
    <tableColumn id="3" xr3:uid="{00000000-0010-0000-0000-000003000000}" name="Email"/>
    <tableColumn id="4" xr3:uid="{00000000-0010-0000-0000-000004000000}" name="Nom"/>
    <tableColumn id="5" xr3:uid="{00000000-0010-0000-0000-000005000000}" name="Date de naissance"/>
    <tableColumn id="6" xr3:uid="{00000000-0010-0000-0000-000006000000}" name="Réglement"/>
    <tableColumn id="7" xr3:uid="{00000000-0010-0000-0000-000007000000}" name="Téléphone"/>
    <tableColumn id="8" xr3:uid="{00000000-0010-0000-0000-000008000000}" name="Team"/>
    <tableColumn id="9" xr3:uid="{00000000-0010-0000-0000-000009000000}" name="Comments"/>
    <tableColumn id="10" xr3:uid="{798B5ACB-5E89-4ED5-B551-47995F8EA092}" name="Column1" dataDxfId="3">
      <calculatedColumnFormula array="1">IF(ISNA(MATCH(L2,$K$1:K1+K3:K146,0)),"Unique","Duplicate")</calculatedColumnFormula>
    </tableColumn>
    <tableColumn id="11" xr3:uid="{B30E522D-9096-4434-B83E-25120C601AE2}" name="Column2" dataDxfId="2">
      <calculatedColumnFormula>UPPER(_xlfn.CONCAT(Form_Responses1[[#This Row],[Prénom]], " ", Form_Responses1[[#This Row],[Nom]]))</calculatedColumnFormula>
    </tableColumn>
    <tableColumn id="12" xr3:uid="{D59DA0EE-7E64-478D-93C9-491E4266CDAA}" name="Column3" dataDxfId="1">
      <calculatedColumnFormula>UPPER(_xlfn.CONCAT(Form_Responses1[[#This Row],[Prénom]], " ", Form_Responses1[[#This Row],[Nom]]))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32"/>
  <sheetViews>
    <sheetView tabSelected="1" workbookViewId="0">
      <pane ySplit="1" topLeftCell="A70" activePane="bottomLeft" state="frozen"/>
      <selection pane="bottomLeft" activeCell="D101" sqref="D101"/>
    </sheetView>
  </sheetViews>
  <sheetFormatPr defaultColWidth="12.5703125" defaultRowHeight="15.75" customHeight="1" x14ac:dyDescent="0.2"/>
  <cols>
    <col min="1" max="10" width="18.85546875" customWidth="1"/>
    <col min="11" max="12" width="39.7109375" bestFit="1" customWidth="1"/>
    <col min="13" max="15" width="18.85546875" customWidth="1"/>
  </cols>
  <sheetData>
    <row r="1" spans="1:1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t="s">
        <v>514</v>
      </c>
      <c r="K1" t="s">
        <v>515</v>
      </c>
      <c r="L1" t="s">
        <v>516</v>
      </c>
    </row>
    <row r="2" spans="1:14" x14ac:dyDescent="0.2">
      <c r="A2" s="4">
        <v>45690.391572141205</v>
      </c>
      <c r="B2" s="5" t="s">
        <v>9</v>
      </c>
      <c r="C2" s="5" t="s">
        <v>10</v>
      </c>
      <c r="D2" s="5" t="s">
        <v>11</v>
      </c>
      <c r="E2" s="6">
        <v>30661</v>
      </c>
      <c r="F2" s="5" t="s">
        <v>12</v>
      </c>
      <c r="G2" s="7" t="s">
        <v>13</v>
      </c>
      <c r="H2" s="5" t="s">
        <v>14</v>
      </c>
      <c r="I2" s="8"/>
      <c r="J2" t="str" cm="1">
        <f t="array" ref="J2">IF(ISNA(MATCH(L2,$K$1:K1+K3:K146,0)),"Unique","Duplicate")</f>
        <v>Unique</v>
      </c>
      <c r="K2" t="str">
        <f>UPPER(_xlfn.CONCAT(Form_Responses1[[#This Row],[Prénom]], " ", Form_Responses1[[#This Row],[Nom]]))</f>
        <v>HELORI LAMBERTY</v>
      </c>
      <c r="L2" t="str">
        <f>UPPER(_xlfn.CONCAT(Form_Responses1[[#This Row],[Prénom]], " ", Form_Responses1[[#This Row],[Nom]]))</f>
        <v>HELORI LAMBERTY</v>
      </c>
      <c r="N2">
        <f t="shared" ref="N2:N33" si="0">COUNTIFS(K:K,K2)</f>
        <v>1</v>
      </c>
    </row>
    <row r="3" spans="1:14" x14ac:dyDescent="0.2">
      <c r="A3" s="9">
        <v>45686.445032187505</v>
      </c>
      <c r="B3" s="10" t="s">
        <v>15</v>
      </c>
      <c r="C3" s="10" t="s">
        <v>16</v>
      </c>
      <c r="D3" s="10" t="s">
        <v>17</v>
      </c>
      <c r="E3" s="11">
        <v>17388</v>
      </c>
      <c r="F3" s="10" t="s">
        <v>12</v>
      </c>
      <c r="G3" s="12" t="s">
        <v>18</v>
      </c>
      <c r="H3" s="10" t="s">
        <v>14</v>
      </c>
      <c r="J3" t="str" cm="1">
        <f t="array" ref="J3">IF(ISNA(MATCH(L3,$K$1:K2+K4:K147,0)),"Unique","Duplicate")</f>
        <v>Unique</v>
      </c>
      <c r="K3" t="str">
        <f>UPPER(_xlfn.CONCAT(Form_Responses1[[#This Row],[Prénom]], " ", Form_Responses1[[#This Row],[Nom]]))</f>
        <v>MICHEL MANCINI</v>
      </c>
      <c r="L3" t="str">
        <f>UPPER(_xlfn.CONCAT(Form_Responses1[[#This Row],[Prénom]], " ", Form_Responses1[[#This Row],[Nom]]))</f>
        <v>MICHEL MANCINI</v>
      </c>
      <c r="N3">
        <f t="shared" si="0"/>
        <v>1</v>
      </c>
    </row>
    <row r="4" spans="1:14" x14ac:dyDescent="0.2">
      <c r="A4" s="4">
        <v>45690.36718108796</v>
      </c>
      <c r="B4" s="5" t="s">
        <v>19</v>
      </c>
      <c r="C4" s="5" t="s">
        <v>20</v>
      </c>
      <c r="D4" s="5" t="s">
        <v>21</v>
      </c>
      <c r="E4" s="6">
        <v>26776</v>
      </c>
      <c r="F4" s="5" t="s">
        <v>12</v>
      </c>
      <c r="G4" s="5">
        <v>478275617</v>
      </c>
      <c r="H4" s="5" t="s">
        <v>14</v>
      </c>
      <c r="J4" t="str" cm="1">
        <f t="array" ref="J4">IF(ISNA(MATCH(L4,$K$1:K3+K5:K148,0)),"Unique","Duplicate")</f>
        <v>Unique</v>
      </c>
      <c r="K4" t="str">
        <f>UPPER(_xlfn.CONCAT(Form_Responses1[[#This Row],[Prénom]], " ", Form_Responses1[[#This Row],[Nom]]))</f>
        <v xml:space="preserve">LUDOVIC MARCHAL </v>
      </c>
      <c r="L4" t="str">
        <f>UPPER(_xlfn.CONCAT(Form_Responses1[[#This Row],[Prénom]], " ", Form_Responses1[[#This Row],[Nom]]))</f>
        <v xml:space="preserve">LUDOVIC MARCHAL </v>
      </c>
      <c r="N4">
        <f t="shared" si="0"/>
        <v>1</v>
      </c>
    </row>
    <row r="5" spans="1:14" x14ac:dyDescent="0.2">
      <c r="A5" s="9">
        <v>45690.36857288194</v>
      </c>
      <c r="B5" s="10" t="s">
        <v>22</v>
      </c>
      <c r="C5" s="10" t="s">
        <v>23</v>
      </c>
      <c r="D5" s="10" t="s">
        <v>24</v>
      </c>
      <c r="E5" s="11">
        <v>28727</v>
      </c>
      <c r="F5" s="10" t="s">
        <v>12</v>
      </c>
      <c r="G5" s="12" t="s">
        <v>25</v>
      </c>
      <c r="H5" s="10" t="s">
        <v>14</v>
      </c>
      <c r="J5" t="str" cm="1">
        <f t="array" ref="J5">IF(ISNA(MATCH(L5,$K$1:K4+K6:K149,0)),"Unique","Duplicate")</f>
        <v>Unique</v>
      </c>
      <c r="K5" t="str">
        <f>UPPER(_xlfn.CONCAT(Form_Responses1[[#This Row],[Prénom]], " ", Form_Responses1[[#This Row],[Nom]]))</f>
        <v xml:space="preserve">RACHEL  NIBONA </v>
      </c>
      <c r="L5" t="str">
        <f>UPPER(_xlfn.CONCAT(Form_Responses1[[#This Row],[Prénom]], " ", Form_Responses1[[#This Row],[Nom]]))</f>
        <v xml:space="preserve">RACHEL  NIBONA </v>
      </c>
      <c r="N5">
        <f t="shared" si="0"/>
        <v>1</v>
      </c>
    </row>
    <row r="6" spans="1:14" x14ac:dyDescent="0.2">
      <c r="A6" s="4">
        <v>45690.370840150463</v>
      </c>
      <c r="B6" s="5" t="s">
        <v>26</v>
      </c>
      <c r="C6" s="5" t="s">
        <v>27</v>
      </c>
      <c r="D6" s="5" t="s">
        <v>28</v>
      </c>
      <c r="E6" s="6">
        <v>25461</v>
      </c>
      <c r="F6" s="5" t="s">
        <v>12</v>
      </c>
      <c r="G6" s="7" t="s">
        <v>29</v>
      </c>
      <c r="H6" s="5" t="s">
        <v>30</v>
      </c>
      <c r="J6" t="str" cm="1">
        <f t="array" ref="J6">IF(ISNA(MATCH(L6,$K$1:K5+K7:K150,0)),"Unique","Duplicate")</f>
        <v>Unique</v>
      </c>
      <c r="K6" t="str">
        <f>UPPER(_xlfn.CONCAT(Form_Responses1[[#This Row],[Prénom]], " ", Form_Responses1[[#This Row],[Nom]]))</f>
        <v xml:space="preserve">DANIEL  VAN LARKEN </v>
      </c>
      <c r="L6" t="str">
        <f>UPPER(_xlfn.CONCAT(Form_Responses1[[#This Row],[Prénom]], " ", Form_Responses1[[#This Row],[Nom]]))</f>
        <v xml:space="preserve">DANIEL  VAN LARKEN </v>
      </c>
      <c r="N6">
        <f t="shared" si="0"/>
        <v>1</v>
      </c>
    </row>
    <row r="7" spans="1:14" x14ac:dyDescent="0.2">
      <c r="A7" s="9">
        <v>45690.397144780094</v>
      </c>
      <c r="B7" s="10" t="s">
        <v>31</v>
      </c>
      <c r="C7" s="10" t="s">
        <v>32</v>
      </c>
      <c r="D7" s="10" t="s">
        <v>33</v>
      </c>
      <c r="E7" s="11">
        <v>31680</v>
      </c>
      <c r="F7" s="10" t="s">
        <v>12</v>
      </c>
      <c r="G7" s="12" t="s">
        <v>34</v>
      </c>
      <c r="H7" s="10" t="s">
        <v>14</v>
      </c>
      <c r="J7" t="str" cm="1">
        <f t="array" ref="J7">IF(ISNA(MATCH(L7,$K$1:K6+K8:K151,0)),"Unique","Duplicate")</f>
        <v>Unique</v>
      </c>
      <c r="K7" t="str">
        <f>UPPER(_xlfn.CONCAT(Form_Responses1[[#This Row],[Prénom]], " ", Form_Responses1[[#This Row],[Nom]]))</f>
        <v>RÉMI  FABRY</v>
      </c>
      <c r="L7" t="str">
        <f>UPPER(_xlfn.CONCAT(Form_Responses1[[#This Row],[Prénom]], " ", Form_Responses1[[#This Row],[Nom]]))</f>
        <v>RÉMI  FABRY</v>
      </c>
      <c r="N7">
        <f t="shared" si="0"/>
        <v>1</v>
      </c>
    </row>
    <row r="8" spans="1:14" x14ac:dyDescent="0.2">
      <c r="A8" s="4">
        <v>45690.413406319443</v>
      </c>
      <c r="B8" s="5" t="s">
        <v>35</v>
      </c>
      <c r="C8" s="5" t="s">
        <v>36</v>
      </c>
      <c r="D8" s="5" t="s">
        <v>37</v>
      </c>
      <c r="E8" s="6">
        <v>30629</v>
      </c>
      <c r="F8" s="5" t="s">
        <v>12</v>
      </c>
      <c r="G8" s="7" t="s">
        <v>38</v>
      </c>
      <c r="H8" s="5" t="s">
        <v>14</v>
      </c>
      <c r="J8" t="str" cm="1">
        <f t="array" ref="J8">IF(ISNA(MATCH(L8,$K$1:K7+K9:K152,0)),"Unique","Duplicate")</f>
        <v>Unique</v>
      </c>
      <c r="K8" t="str">
        <f>UPPER(_xlfn.CONCAT(Form_Responses1[[#This Row],[Prénom]], " ", Form_Responses1[[#This Row],[Nom]]))</f>
        <v>CINDY SIMON</v>
      </c>
      <c r="L8" t="str">
        <f>UPPER(_xlfn.CONCAT(Form_Responses1[[#This Row],[Prénom]], " ", Form_Responses1[[#This Row],[Nom]]))</f>
        <v>CINDY SIMON</v>
      </c>
      <c r="N8">
        <f t="shared" si="0"/>
        <v>1</v>
      </c>
    </row>
    <row r="9" spans="1:14" x14ac:dyDescent="0.2">
      <c r="A9" s="9">
        <v>45690.547704849538</v>
      </c>
      <c r="B9" s="10" t="s">
        <v>39</v>
      </c>
      <c r="C9" s="10" t="s">
        <v>40</v>
      </c>
      <c r="D9" s="10" t="s">
        <v>41</v>
      </c>
      <c r="E9" s="11">
        <v>27339</v>
      </c>
      <c r="F9" s="10" t="s">
        <v>12</v>
      </c>
      <c r="G9" s="12" t="s">
        <v>42</v>
      </c>
      <c r="H9" s="10" t="s">
        <v>43</v>
      </c>
      <c r="J9" t="str" cm="1">
        <f t="array" ref="J9">IF(ISNA(MATCH(L9,$K$1:K8+K10:K153,0)),"Unique","Duplicate")</f>
        <v>Unique</v>
      </c>
      <c r="K9" t="str">
        <f>UPPER(_xlfn.CONCAT(Form_Responses1[[#This Row],[Prénom]], " ", Form_Responses1[[#This Row],[Nom]]))</f>
        <v>EMMANUEL  COLA</v>
      </c>
      <c r="L9" t="str">
        <f>UPPER(_xlfn.CONCAT(Form_Responses1[[#This Row],[Prénom]], " ", Form_Responses1[[#This Row],[Nom]]))</f>
        <v>EMMANUEL  COLA</v>
      </c>
      <c r="N9">
        <f t="shared" si="0"/>
        <v>1</v>
      </c>
    </row>
    <row r="10" spans="1:14" x14ac:dyDescent="0.2">
      <c r="A10" s="4">
        <v>45690.566729224534</v>
      </c>
      <c r="B10" s="5" t="s">
        <v>44</v>
      </c>
      <c r="C10" s="5" t="s">
        <v>45</v>
      </c>
      <c r="D10" s="5" t="s">
        <v>46</v>
      </c>
      <c r="E10" s="6">
        <v>40709</v>
      </c>
      <c r="F10" s="5" t="s">
        <v>12</v>
      </c>
      <c r="G10" s="7" t="s">
        <v>47</v>
      </c>
      <c r="H10" s="5" t="s">
        <v>30</v>
      </c>
      <c r="J10" t="str" cm="1">
        <f t="array" ref="J10">IF(ISNA(MATCH(L10,$K$1:K9+K11:K154,0)),"Unique","Duplicate")</f>
        <v>Unique</v>
      </c>
      <c r="K10" t="str">
        <f>UPPER(_xlfn.CONCAT(Form_Responses1[[#This Row],[Prénom]], " ", Form_Responses1[[#This Row],[Nom]]))</f>
        <v xml:space="preserve">MANON LAMBERTY </v>
      </c>
      <c r="L10" t="str">
        <f>UPPER(_xlfn.CONCAT(Form_Responses1[[#This Row],[Prénom]], " ", Form_Responses1[[#This Row],[Nom]]))</f>
        <v xml:space="preserve">MANON LAMBERTY </v>
      </c>
      <c r="N10">
        <f t="shared" si="0"/>
        <v>1</v>
      </c>
    </row>
    <row r="11" spans="1:14" x14ac:dyDescent="0.2">
      <c r="A11" s="9">
        <v>45690.615211689816</v>
      </c>
      <c r="B11" s="10" t="s">
        <v>48</v>
      </c>
      <c r="C11" s="10" t="s">
        <v>49</v>
      </c>
      <c r="D11" s="10" t="s">
        <v>50</v>
      </c>
      <c r="E11" s="11">
        <v>23451</v>
      </c>
      <c r="F11" s="10" t="s">
        <v>12</v>
      </c>
      <c r="G11" s="12" t="s">
        <v>51</v>
      </c>
      <c r="H11" s="10" t="s">
        <v>14</v>
      </c>
      <c r="J11" t="str" cm="1">
        <f t="array" ref="J11">IF(ISNA(MATCH(L11,$K$1:K10+K12:K155,0)),"Unique","Duplicate")</f>
        <v>Unique</v>
      </c>
      <c r="K11" t="str">
        <f>UPPER(_xlfn.CONCAT(Form_Responses1[[#This Row],[Prénom]], " ", Form_Responses1[[#This Row],[Nom]]))</f>
        <v xml:space="preserve">JUAN PARDO GARCIA </v>
      </c>
      <c r="L11" t="str">
        <f>UPPER(_xlfn.CONCAT(Form_Responses1[[#This Row],[Prénom]], " ", Form_Responses1[[#This Row],[Nom]]))</f>
        <v xml:space="preserve">JUAN PARDO GARCIA </v>
      </c>
      <c r="N11">
        <f t="shared" si="0"/>
        <v>1</v>
      </c>
    </row>
    <row r="12" spans="1:14" x14ac:dyDescent="0.2">
      <c r="A12" s="4">
        <v>45690.627883043984</v>
      </c>
      <c r="B12" s="5" t="s">
        <v>52</v>
      </c>
      <c r="C12" s="5" t="s">
        <v>53</v>
      </c>
      <c r="D12" s="5" t="s">
        <v>54</v>
      </c>
      <c r="E12" s="6">
        <v>29178</v>
      </c>
      <c r="F12" s="5" t="s">
        <v>12</v>
      </c>
      <c r="G12" s="7" t="s">
        <v>55</v>
      </c>
      <c r="H12" s="5" t="s">
        <v>14</v>
      </c>
      <c r="J12" t="str" cm="1">
        <f t="array" ref="J12">IF(ISNA(MATCH(L12,$K$1:K11+K13:K156,0)),"Unique","Duplicate")</f>
        <v>Unique</v>
      </c>
      <c r="K12" t="str">
        <f>UPPER(_xlfn.CONCAT(Form_Responses1[[#This Row],[Prénom]], " ", Form_Responses1[[#This Row],[Nom]]))</f>
        <v>SÉBASTIEN  DUHR</v>
      </c>
      <c r="L12" t="str">
        <f>UPPER(_xlfn.CONCAT(Form_Responses1[[#This Row],[Prénom]], " ", Form_Responses1[[#This Row],[Nom]]))</f>
        <v>SÉBASTIEN  DUHR</v>
      </c>
      <c r="N12">
        <f t="shared" si="0"/>
        <v>1</v>
      </c>
    </row>
    <row r="13" spans="1:14" x14ac:dyDescent="0.2">
      <c r="A13" s="9">
        <v>45690.708093009263</v>
      </c>
      <c r="B13" s="10" t="s">
        <v>56</v>
      </c>
      <c r="C13" s="10" t="s">
        <v>57</v>
      </c>
      <c r="D13" s="10" t="s">
        <v>58</v>
      </c>
      <c r="E13" s="11">
        <v>27945</v>
      </c>
      <c r="F13" s="10" t="s">
        <v>12</v>
      </c>
      <c r="G13" s="12" t="s">
        <v>59</v>
      </c>
      <c r="J13" t="str" cm="1">
        <f t="array" ref="J13">IF(ISNA(MATCH(L13,$K$1:K12+K14:K157,0)),"Unique","Duplicate")</f>
        <v>Unique</v>
      </c>
      <c r="K13" t="str">
        <f>UPPER(_xlfn.CONCAT(Form_Responses1[[#This Row],[Prénom]], " ", Form_Responses1[[#This Row],[Nom]]))</f>
        <v xml:space="preserve">ROSARIO  LOFORTE </v>
      </c>
      <c r="L13" t="str">
        <f>UPPER(_xlfn.CONCAT(Form_Responses1[[#This Row],[Prénom]], " ", Form_Responses1[[#This Row],[Nom]]))</f>
        <v xml:space="preserve">ROSARIO  LOFORTE </v>
      </c>
      <c r="N13">
        <f t="shared" si="0"/>
        <v>1</v>
      </c>
    </row>
    <row r="14" spans="1:14" x14ac:dyDescent="0.2">
      <c r="A14" s="4">
        <v>45690.724406620371</v>
      </c>
      <c r="B14" s="5" t="s">
        <v>60</v>
      </c>
      <c r="C14" s="5" t="s">
        <v>61</v>
      </c>
      <c r="D14" s="5" t="s">
        <v>62</v>
      </c>
      <c r="E14" s="6">
        <v>27080</v>
      </c>
      <c r="F14" s="5" t="s">
        <v>12</v>
      </c>
      <c r="G14" s="7" t="s">
        <v>63</v>
      </c>
      <c r="H14" s="5" t="s">
        <v>14</v>
      </c>
      <c r="J14" t="str" cm="1">
        <f t="array" ref="J14">IF(ISNA(MATCH(L14,$K$1:K13+K15:K158,0)),"Unique","Duplicate")</f>
        <v>Unique</v>
      </c>
      <c r="K14" t="str">
        <f>UPPER(_xlfn.CONCAT(Form_Responses1[[#This Row],[Prénom]], " ", Form_Responses1[[#This Row],[Nom]]))</f>
        <v>PIERRE BORDONARO</v>
      </c>
      <c r="L14" t="str">
        <f>UPPER(_xlfn.CONCAT(Form_Responses1[[#This Row],[Prénom]], " ", Form_Responses1[[#This Row],[Nom]]))</f>
        <v>PIERRE BORDONARO</v>
      </c>
      <c r="N14">
        <f t="shared" si="0"/>
        <v>1</v>
      </c>
    </row>
    <row r="15" spans="1:14" x14ac:dyDescent="0.2">
      <c r="A15" s="9">
        <v>45690.740307870372</v>
      </c>
      <c r="B15" s="10" t="s">
        <v>64</v>
      </c>
      <c r="C15" s="10" t="s">
        <v>65</v>
      </c>
      <c r="D15" s="10" t="s">
        <v>66</v>
      </c>
      <c r="E15" s="11">
        <v>17801</v>
      </c>
      <c r="F15" s="10" t="s">
        <v>12</v>
      </c>
      <c r="G15" s="12" t="s">
        <v>67</v>
      </c>
      <c r="H15" s="10" t="s">
        <v>68</v>
      </c>
      <c r="J15" t="str" cm="1">
        <f t="array" ref="J15">IF(ISNA(MATCH(L15,$K$1:K14+K16:K159,0)),"Unique","Duplicate")</f>
        <v>Unique</v>
      </c>
      <c r="K15" t="str">
        <f>UPPER(_xlfn.CONCAT(Form_Responses1[[#This Row],[Prénom]], " ", Form_Responses1[[#This Row],[Nom]]))</f>
        <v xml:space="preserve">LUIGI  SAGGIORATO </v>
      </c>
      <c r="L15" t="str">
        <f>UPPER(_xlfn.CONCAT(Form_Responses1[[#This Row],[Prénom]], " ", Form_Responses1[[#This Row],[Nom]]))</f>
        <v xml:space="preserve">LUIGI  SAGGIORATO </v>
      </c>
      <c r="N15">
        <f t="shared" si="0"/>
        <v>1</v>
      </c>
    </row>
    <row r="16" spans="1:14" x14ac:dyDescent="0.2">
      <c r="A16" s="4">
        <v>45690.742239525462</v>
      </c>
      <c r="B16" s="5" t="s">
        <v>69</v>
      </c>
      <c r="C16" s="5" t="s">
        <v>70</v>
      </c>
      <c r="D16" s="5" t="s">
        <v>71</v>
      </c>
      <c r="E16" s="6">
        <v>34582</v>
      </c>
      <c r="F16" s="5" t="s">
        <v>12</v>
      </c>
      <c r="G16" s="7" t="s">
        <v>72</v>
      </c>
      <c r="J16" t="str" cm="1">
        <f t="array" ref="J16">IF(ISNA(MATCH(L16,$K$1:K15+K17:K160,0)),"Unique","Duplicate")</f>
        <v>Unique</v>
      </c>
      <c r="K16" t="str">
        <f>UPPER(_xlfn.CONCAT(Form_Responses1[[#This Row],[Prénom]], " ", Form_Responses1[[#This Row],[Nom]]))</f>
        <v>LAURANE SOTTIAUX</v>
      </c>
      <c r="L16" t="str">
        <f>UPPER(_xlfn.CONCAT(Form_Responses1[[#This Row],[Prénom]], " ", Form_Responses1[[#This Row],[Nom]]))</f>
        <v>LAURANE SOTTIAUX</v>
      </c>
      <c r="N16">
        <f t="shared" si="0"/>
        <v>1</v>
      </c>
    </row>
    <row r="17" spans="1:14" x14ac:dyDescent="0.2">
      <c r="A17" s="9">
        <v>45690.745030162041</v>
      </c>
      <c r="B17" s="10" t="s">
        <v>73</v>
      </c>
      <c r="C17" s="10" t="s">
        <v>74</v>
      </c>
      <c r="D17" s="10" t="s">
        <v>75</v>
      </c>
      <c r="E17" s="11">
        <v>26214</v>
      </c>
      <c r="F17" s="10" t="s">
        <v>12</v>
      </c>
      <c r="G17" s="12" t="s">
        <v>76</v>
      </c>
      <c r="J17" t="str" cm="1">
        <f t="array" ref="J17">IF(ISNA(MATCH(L17,$K$1:K16+K18:K161,0)),"Unique","Duplicate")</f>
        <v>Unique</v>
      </c>
      <c r="K17" t="str">
        <f>UPPER(_xlfn.CONCAT(Form_Responses1[[#This Row],[Prénom]], " ", Form_Responses1[[#This Row],[Nom]]))</f>
        <v>DAVID GOESSENS</v>
      </c>
      <c r="L17" t="str">
        <f>UPPER(_xlfn.CONCAT(Form_Responses1[[#This Row],[Prénom]], " ", Form_Responses1[[#This Row],[Nom]]))</f>
        <v>DAVID GOESSENS</v>
      </c>
      <c r="N17">
        <f t="shared" si="0"/>
        <v>1</v>
      </c>
    </row>
    <row r="18" spans="1:14" x14ac:dyDescent="0.2">
      <c r="A18" s="4">
        <v>45690.75494752315</v>
      </c>
      <c r="B18" s="5" t="s">
        <v>77</v>
      </c>
      <c r="C18" s="5" t="s">
        <v>78</v>
      </c>
      <c r="D18" s="5" t="s">
        <v>79</v>
      </c>
      <c r="E18" s="6">
        <v>26962</v>
      </c>
      <c r="F18" s="5" t="s">
        <v>12</v>
      </c>
      <c r="H18" s="5" t="s">
        <v>80</v>
      </c>
      <c r="J18" t="str" cm="1">
        <f t="array" ref="J18">IF(ISNA(MATCH(L18,$K$1:K17+K19:K162,0)),"Unique","Duplicate")</f>
        <v>Unique</v>
      </c>
      <c r="K18" t="str">
        <f>UPPER(_xlfn.CONCAT(Form_Responses1[[#This Row],[Prénom]], " ", Form_Responses1[[#This Row],[Nom]]))</f>
        <v>FABRIZIO PEDATA</v>
      </c>
      <c r="L18" t="str">
        <f>UPPER(_xlfn.CONCAT(Form_Responses1[[#This Row],[Prénom]], " ", Form_Responses1[[#This Row],[Nom]]))</f>
        <v>FABRIZIO PEDATA</v>
      </c>
      <c r="N18">
        <f t="shared" si="0"/>
        <v>1</v>
      </c>
    </row>
    <row r="19" spans="1:14" x14ac:dyDescent="0.2">
      <c r="A19" s="9">
        <v>45690.75903454861</v>
      </c>
      <c r="B19" s="10" t="s">
        <v>81</v>
      </c>
      <c r="C19" s="10" t="s">
        <v>82</v>
      </c>
      <c r="D19" s="10" t="s">
        <v>83</v>
      </c>
      <c r="E19" s="11">
        <v>31112</v>
      </c>
      <c r="F19" s="10" t="s">
        <v>12</v>
      </c>
      <c r="H19" s="10" t="s">
        <v>84</v>
      </c>
      <c r="J19" t="str" cm="1">
        <f t="array" ref="J19">IF(ISNA(MATCH(L19,$K$1:K18+K20:K163,0)),"Unique","Duplicate")</f>
        <v>Unique</v>
      </c>
      <c r="K19" t="str">
        <f>UPPER(_xlfn.CONCAT(Form_Responses1[[#This Row],[Prénom]], " ", Form_Responses1[[#This Row],[Nom]]))</f>
        <v xml:space="preserve">YOANN ESSABRI </v>
      </c>
      <c r="L19" t="str">
        <f>UPPER(_xlfn.CONCAT(Form_Responses1[[#This Row],[Prénom]], " ", Form_Responses1[[#This Row],[Nom]]))</f>
        <v xml:space="preserve">YOANN ESSABRI </v>
      </c>
      <c r="N19">
        <f t="shared" si="0"/>
        <v>1</v>
      </c>
    </row>
    <row r="20" spans="1:14" x14ac:dyDescent="0.2">
      <c r="A20" s="4">
        <v>45690.7607440625</v>
      </c>
      <c r="B20" s="5" t="s">
        <v>85</v>
      </c>
      <c r="C20" s="5" t="s">
        <v>86</v>
      </c>
      <c r="D20" s="5" t="s">
        <v>87</v>
      </c>
      <c r="E20" s="6">
        <v>25987</v>
      </c>
      <c r="F20" s="5" t="s">
        <v>12</v>
      </c>
      <c r="G20" s="7" t="s">
        <v>88</v>
      </c>
      <c r="J20" t="str" cm="1">
        <f t="array" ref="J20">IF(ISNA(MATCH(L20,$K$1:K19+K21:K164,0)),"Unique","Duplicate")</f>
        <v>Unique</v>
      </c>
      <c r="K20" t="str">
        <f>UPPER(_xlfn.CONCAT(Form_Responses1[[#This Row],[Prénom]], " ", Form_Responses1[[#This Row],[Nom]]))</f>
        <v xml:space="preserve">ERICA  RASCHELLA </v>
      </c>
      <c r="L20" t="str">
        <f>UPPER(_xlfn.CONCAT(Form_Responses1[[#This Row],[Prénom]], " ", Form_Responses1[[#This Row],[Nom]]))</f>
        <v xml:space="preserve">ERICA  RASCHELLA </v>
      </c>
      <c r="N20">
        <f t="shared" si="0"/>
        <v>1</v>
      </c>
    </row>
    <row r="21" spans="1:14" x14ac:dyDescent="0.2">
      <c r="A21" s="9">
        <v>45690.761357141208</v>
      </c>
      <c r="B21" s="10" t="s">
        <v>89</v>
      </c>
      <c r="C21" s="10" t="s">
        <v>90</v>
      </c>
      <c r="D21" s="10" t="s">
        <v>91</v>
      </c>
      <c r="E21" s="11">
        <v>25535</v>
      </c>
      <c r="F21" s="10" t="s">
        <v>12</v>
      </c>
      <c r="G21" s="10" t="s">
        <v>92</v>
      </c>
      <c r="H21" s="10" t="s">
        <v>14</v>
      </c>
      <c r="J21" t="str" cm="1">
        <f t="array" ref="J21">IF(ISNA(MATCH(L21,$K$1:K20+K22:K165,0)),"Unique","Duplicate")</f>
        <v>Unique</v>
      </c>
      <c r="K21" t="str">
        <f>UPPER(_xlfn.CONCAT(Form_Responses1[[#This Row],[Prénom]], " ", Form_Responses1[[#This Row],[Nom]]))</f>
        <v xml:space="preserve">SUZANNE  DEMONCEAU </v>
      </c>
      <c r="L21" t="str">
        <f>UPPER(_xlfn.CONCAT(Form_Responses1[[#This Row],[Prénom]], " ", Form_Responses1[[#This Row],[Nom]]))</f>
        <v xml:space="preserve">SUZANNE  DEMONCEAU </v>
      </c>
      <c r="N21">
        <f t="shared" si="0"/>
        <v>1</v>
      </c>
    </row>
    <row r="22" spans="1:14" x14ac:dyDescent="0.2">
      <c r="A22" s="4">
        <v>45690.780133553242</v>
      </c>
      <c r="B22" s="5" t="s">
        <v>93</v>
      </c>
      <c r="C22" s="5" t="s">
        <v>94</v>
      </c>
      <c r="D22" s="5" t="s">
        <v>95</v>
      </c>
      <c r="E22" s="6">
        <v>28703</v>
      </c>
      <c r="F22" s="5" t="s">
        <v>12</v>
      </c>
      <c r="G22" s="7" t="s">
        <v>96</v>
      </c>
      <c r="H22" s="5" t="s">
        <v>97</v>
      </c>
      <c r="J22" t="str" cm="1">
        <f t="array" ref="J22">IF(ISNA(MATCH(L22,$K$1:K21+K23:K166,0)),"Unique","Duplicate")</f>
        <v>Unique</v>
      </c>
      <c r="K22" t="str">
        <f>UPPER(_xlfn.CONCAT(Form_Responses1[[#This Row],[Prénom]], " ", Form_Responses1[[#This Row],[Nom]]))</f>
        <v xml:space="preserve">LUDIVINE  VANDEWEYER </v>
      </c>
      <c r="L22" t="str">
        <f>UPPER(_xlfn.CONCAT(Form_Responses1[[#This Row],[Prénom]], " ", Form_Responses1[[#This Row],[Nom]]))</f>
        <v xml:space="preserve">LUDIVINE  VANDEWEYER </v>
      </c>
      <c r="N22">
        <f t="shared" si="0"/>
        <v>1</v>
      </c>
    </row>
    <row r="23" spans="1:14" x14ac:dyDescent="0.2">
      <c r="A23" s="9">
        <v>45690.784661574071</v>
      </c>
      <c r="B23" s="10" t="s">
        <v>98</v>
      </c>
      <c r="C23" s="10" t="s">
        <v>99</v>
      </c>
      <c r="D23" s="10" t="s">
        <v>100</v>
      </c>
      <c r="E23" s="11">
        <v>26880</v>
      </c>
      <c r="F23" s="10" t="s">
        <v>12</v>
      </c>
      <c r="G23" s="12" t="s">
        <v>101</v>
      </c>
      <c r="H23" s="10" t="s">
        <v>102</v>
      </c>
      <c r="J23" t="str" cm="1">
        <f t="array" ref="J23">IF(ISNA(MATCH(L23,$K$1:K22+K24:K167,0)),"Unique","Duplicate")</f>
        <v>Unique</v>
      </c>
      <c r="K23" t="str">
        <f>UPPER(_xlfn.CONCAT(Form_Responses1[[#This Row],[Prénom]], " ", Form_Responses1[[#This Row],[Nom]]))</f>
        <v xml:space="preserve">TANINA NEARNO </v>
      </c>
      <c r="L23" t="str">
        <f>UPPER(_xlfn.CONCAT(Form_Responses1[[#This Row],[Prénom]], " ", Form_Responses1[[#This Row],[Nom]]))</f>
        <v xml:space="preserve">TANINA NEARNO </v>
      </c>
      <c r="N23">
        <f t="shared" si="0"/>
        <v>1</v>
      </c>
    </row>
    <row r="24" spans="1:14" x14ac:dyDescent="0.2">
      <c r="A24" s="4">
        <v>45690.794862511575</v>
      </c>
      <c r="B24" s="5" t="s">
        <v>103</v>
      </c>
      <c r="C24" s="5" t="s">
        <v>104</v>
      </c>
      <c r="D24" s="5" t="s">
        <v>105</v>
      </c>
      <c r="E24" s="6">
        <v>30534</v>
      </c>
      <c r="F24" s="5" t="s">
        <v>12</v>
      </c>
      <c r="G24" s="7" t="s">
        <v>106</v>
      </c>
      <c r="H24" s="5" t="s">
        <v>14</v>
      </c>
      <c r="J24" t="str" cm="1">
        <f t="array" ref="J24">IF(ISNA(MATCH(L24,$K$1:K23+K25:K168,0)),"Unique","Duplicate")</f>
        <v>Unique</v>
      </c>
      <c r="K24" t="str">
        <f>UPPER(_xlfn.CONCAT(Form_Responses1[[#This Row],[Prénom]], " ", Form_Responses1[[#This Row],[Nom]]))</f>
        <v xml:space="preserve">VANESSA  MEISE </v>
      </c>
      <c r="L24" t="str">
        <f>UPPER(_xlfn.CONCAT(Form_Responses1[[#This Row],[Prénom]], " ", Form_Responses1[[#This Row],[Nom]]))</f>
        <v xml:space="preserve">VANESSA  MEISE </v>
      </c>
      <c r="N24">
        <f t="shared" si="0"/>
        <v>1</v>
      </c>
    </row>
    <row r="25" spans="1:14" x14ac:dyDescent="0.2">
      <c r="A25" s="9">
        <v>45690.799295324076</v>
      </c>
      <c r="B25" s="10" t="s">
        <v>107</v>
      </c>
      <c r="C25" s="10" t="s">
        <v>108</v>
      </c>
      <c r="D25" s="10" t="s">
        <v>109</v>
      </c>
      <c r="E25" s="11">
        <v>33499</v>
      </c>
      <c r="F25" s="10" t="s">
        <v>12</v>
      </c>
      <c r="G25" s="10" t="s">
        <v>110</v>
      </c>
      <c r="H25" s="10" t="s">
        <v>30</v>
      </c>
      <c r="J25" t="str" cm="1">
        <f t="array" ref="J25">IF(ISNA(MATCH(L25,$K$1:K24+K26:K169,0)),"Unique","Duplicate")</f>
        <v>Unique</v>
      </c>
      <c r="K25" t="str">
        <f>UPPER(_xlfn.CONCAT(Form_Responses1[[#This Row],[Prénom]], " ", Form_Responses1[[#This Row],[Nom]]))</f>
        <v>ALINE  BOUHON</v>
      </c>
      <c r="L25" t="str">
        <f>UPPER(_xlfn.CONCAT(Form_Responses1[[#This Row],[Prénom]], " ", Form_Responses1[[#This Row],[Nom]]))</f>
        <v>ALINE  BOUHON</v>
      </c>
      <c r="N25">
        <f t="shared" si="0"/>
        <v>1</v>
      </c>
    </row>
    <row r="26" spans="1:14" x14ac:dyDescent="0.2">
      <c r="A26" s="4">
        <v>45690.802683611109</v>
      </c>
      <c r="B26" s="5" t="s">
        <v>111</v>
      </c>
      <c r="C26" s="5" t="s">
        <v>112</v>
      </c>
      <c r="D26" s="5" t="s">
        <v>100</v>
      </c>
      <c r="E26" s="6">
        <v>29955</v>
      </c>
      <c r="F26" s="5" t="s">
        <v>12</v>
      </c>
      <c r="G26" s="5" t="s">
        <v>113</v>
      </c>
      <c r="H26" s="5" t="s">
        <v>102</v>
      </c>
      <c r="J26" t="str" cm="1">
        <f t="array" ref="J26">IF(ISNA(MATCH(L26,$K$1:K25+K27:K170,0)),"Unique","Duplicate")</f>
        <v>Unique</v>
      </c>
      <c r="K26" t="str">
        <f>UPPER(_xlfn.CONCAT(Form_Responses1[[#This Row],[Prénom]], " ", Form_Responses1[[#This Row],[Nom]]))</f>
        <v xml:space="preserve">ANTONIO  NEARNO </v>
      </c>
      <c r="L26" t="str">
        <f>UPPER(_xlfn.CONCAT(Form_Responses1[[#This Row],[Prénom]], " ", Form_Responses1[[#This Row],[Nom]]))</f>
        <v xml:space="preserve">ANTONIO  NEARNO </v>
      </c>
      <c r="N26">
        <f t="shared" si="0"/>
        <v>1</v>
      </c>
    </row>
    <row r="27" spans="1:14" x14ac:dyDescent="0.2">
      <c r="A27" s="9">
        <v>45690.803596840276</v>
      </c>
      <c r="B27" s="10" t="s">
        <v>114</v>
      </c>
      <c r="C27" s="10" t="s">
        <v>115</v>
      </c>
      <c r="D27" s="10" t="s">
        <v>116</v>
      </c>
      <c r="E27" s="11">
        <v>29112</v>
      </c>
      <c r="F27" s="10" t="s">
        <v>12</v>
      </c>
      <c r="G27" s="12" t="s">
        <v>117</v>
      </c>
      <c r="H27" s="10" t="s">
        <v>14</v>
      </c>
      <c r="J27" t="str" cm="1">
        <f t="array" ref="J27">IF(ISNA(MATCH(L27,$K$1:K26+K28:K171,0)),"Unique","Duplicate")</f>
        <v>Unique</v>
      </c>
      <c r="K27" t="str">
        <f>UPPER(_xlfn.CONCAT(Form_Responses1[[#This Row],[Prénom]], " ", Form_Responses1[[#This Row],[Nom]]))</f>
        <v xml:space="preserve">STÉPHANIE  MARTELANGE </v>
      </c>
      <c r="L27" t="str">
        <f>UPPER(_xlfn.CONCAT(Form_Responses1[[#This Row],[Prénom]], " ", Form_Responses1[[#This Row],[Nom]]))</f>
        <v xml:space="preserve">STÉPHANIE  MARTELANGE </v>
      </c>
      <c r="N27">
        <f t="shared" si="0"/>
        <v>1</v>
      </c>
    </row>
    <row r="28" spans="1:14" x14ac:dyDescent="0.2">
      <c r="A28" s="4">
        <v>45690.807564444447</v>
      </c>
      <c r="B28" s="5" t="s">
        <v>118</v>
      </c>
      <c r="C28" s="5" t="s">
        <v>119</v>
      </c>
      <c r="D28" s="5" t="s">
        <v>120</v>
      </c>
      <c r="E28" s="6">
        <v>29215</v>
      </c>
      <c r="F28" s="5" t="s">
        <v>12</v>
      </c>
      <c r="G28" s="5" t="s">
        <v>121</v>
      </c>
      <c r="H28" s="5" t="s">
        <v>43</v>
      </c>
      <c r="J28" t="str" cm="1">
        <f t="array" ref="J28">IF(ISNA(MATCH(L28,$K$1:K27+K29:K172,0)),"Unique","Duplicate")</f>
        <v>Unique</v>
      </c>
      <c r="K28" t="str">
        <f>UPPER(_xlfn.CONCAT(Form_Responses1[[#This Row],[Prénom]], " ", Form_Responses1[[#This Row],[Nom]]))</f>
        <v>SOPHIE DUMONT</v>
      </c>
      <c r="L28" t="str">
        <f>UPPER(_xlfn.CONCAT(Form_Responses1[[#This Row],[Prénom]], " ", Form_Responses1[[#This Row],[Nom]]))</f>
        <v>SOPHIE DUMONT</v>
      </c>
      <c r="N28">
        <f t="shared" si="0"/>
        <v>1</v>
      </c>
    </row>
    <row r="29" spans="1:14" x14ac:dyDescent="0.2">
      <c r="A29" s="4">
        <v>45690.811918472224</v>
      </c>
      <c r="B29" s="5" t="s">
        <v>125</v>
      </c>
      <c r="C29" s="5" t="s">
        <v>126</v>
      </c>
      <c r="D29" s="5" t="s">
        <v>127</v>
      </c>
      <c r="E29" s="6">
        <v>36125</v>
      </c>
      <c r="F29" s="5" t="s">
        <v>12</v>
      </c>
      <c r="G29" s="7" t="s">
        <v>128</v>
      </c>
      <c r="H29" s="5" t="s">
        <v>129</v>
      </c>
      <c r="J29" t="str" cm="1">
        <f t="array" ref="J29">IF(ISNA(MATCH(L29,$K$1:K28+K30:K174,0)),"Unique","Duplicate")</f>
        <v>Unique</v>
      </c>
      <c r="K29" t="str">
        <f>UPPER(_xlfn.CONCAT(Form_Responses1[[#This Row],[Prénom]], " ", Form_Responses1[[#This Row],[Nom]]))</f>
        <v>LAURENT RENKIN</v>
      </c>
      <c r="L29" t="str">
        <f>UPPER(_xlfn.CONCAT(Form_Responses1[[#This Row],[Prénom]], " ", Form_Responses1[[#This Row],[Nom]]))</f>
        <v>LAURENT RENKIN</v>
      </c>
      <c r="N29">
        <f t="shared" si="0"/>
        <v>1</v>
      </c>
    </row>
    <row r="30" spans="1:14" x14ac:dyDescent="0.2">
      <c r="A30" s="9">
        <v>45690.812694652777</v>
      </c>
      <c r="B30" s="10" t="s">
        <v>130</v>
      </c>
      <c r="C30" s="10" t="s">
        <v>131</v>
      </c>
      <c r="D30" s="10" t="s">
        <v>132</v>
      </c>
      <c r="E30" s="11">
        <v>25015</v>
      </c>
      <c r="F30" s="10" t="s">
        <v>12</v>
      </c>
      <c r="G30" s="10">
        <v>476462854</v>
      </c>
      <c r="H30" s="10" t="s">
        <v>14</v>
      </c>
      <c r="J30" t="str" cm="1">
        <f t="array" ref="J30">IF(ISNA(MATCH(L30,$K$1:K29+K31:K175,0)),"Unique","Duplicate")</f>
        <v>Unique</v>
      </c>
      <c r="K30" t="str">
        <f>UPPER(_xlfn.CONCAT(Form_Responses1[[#This Row],[Prénom]], " ", Form_Responses1[[#This Row],[Nom]]))</f>
        <v>RUDY DEFLANDRE</v>
      </c>
      <c r="L30" t="str">
        <f>UPPER(_xlfn.CONCAT(Form_Responses1[[#This Row],[Prénom]], " ", Form_Responses1[[#This Row],[Nom]]))</f>
        <v>RUDY DEFLANDRE</v>
      </c>
      <c r="N30">
        <f t="shared" si="0"/>
        <v>1</v>
      </c>
    </row>
    <row r="31" spans="1:14" x14ac:dyDescent="0.2">
      <c r="A31" s="4">
        <v>45690.81610369213</v>
      </c>
      <c r="B31" s="5" t="s">
        <v>133</v>
      </c>
      <c r="C31" s="5" t="s">
        <v>134</v>
      </c>
      <c r="D31" s="5" t="s">
        <v>135</v>
      </c>
      <c r="E31" s="6">
        <v>26300</v>
      </c>
      <c r="F31" s="5" t="s">
        <v>12</v>
      </c>
      <c r="G31" s="5" t="s">
        <v>136</v>
      </c>
      <c r="H31" s="5" t="s">
        <v>43</v>
      </c>
      <c r="J31" t="str" cm="1">
        <f t="array" ref="J31">IF(ISNA(MATCH(L31,$K$1:K30+K32:K176,0)),"Unique","Duplicate")</f>
        <v>Unique</v>
      </c>
      <c r="K31" t="str">
        <f>UPPER(_xlfn.CONCAT(Form_Responses1[[#This Row],[Prénom]], " ", Form_Responses1[[#This Row],[Nom]]))</f>
        <v>CARINE VENEZIANO</v>
      </c>
      <c r="L31" t="str">
        <f>UPPER(_xlfn.CONCAT(Form_Responses1[[#This Row],[Prénom]], " ", Form_Responses1[[#This Row],[Nom]]))</f>
        <v>CARINE VENEZIANO</v>
      </c>
      <c r="N31">
        <f t="shared" si="0"/>
        <v>1</v>
      </c>
    </row>
    <row r="32" spans="1:14" x14ac:dyDescent="0.2">
      <c r="A32" s="9">
        <v>45690.820184571756</v>
      </c>
      <c r="B32" s="10" t="s">
        <v>137</v>
      </c>
      <c r="C32" s="10" t="s">
        <v>138</v>
      </c>
      <c r="D32" s="10" t="s">
        <v>139</v>
      </c>
      <c r="E32" s="11">
        <v>29432</v>
      </c>
      <c r="F32" s="10" t="s">
        <v>12</v>
      </c>
      <c r="G32" s="12" t="s">
        <v>140</v>
      </c>
      <c r="H32" s="10" t="s">
        <v>43</v>
      </c>
      <c r="J32" t="str" cm="1">
        <f t="array" ref="J32">IF(ISNA(MATCH(L32,$K$1:K31+K33:K177,0)),"Unique","Duplicate")</f>
        <v>Unique</v>
      </c>
      <c r="K32" t="str">
        <f>UPPER(_xlfn.CONCAT(Form_Responses1[[#This Row],[Prénom]], " ", Form_Responses1[[#This Row],[Nom]]))</f>
        <v>ISABELLE  HOUYON</v>
      </c>
      <c r="L32" t="str">
        <f>UPPER(_xlfn.CONCAT(Form_Responses1[[#This Row],[Prénom]], " ", Form_Responses1[[#This Row],[Nom]]))</f>
        <v>ISABELLE  HOUYON</v>
      </c>
      <c r="N32">
        <f t="shared" si="0"/>
        <v>1</v>
      </c>
    </row>
    <row r="33" spans="1:14" x14ac:dyDescent="0.2">
      <c r="A33" s="4">
        <v>45690.833944120372</v>
      </c>
      <c r="B33" s="5" t="s">
        <v>141</v>
      </c>
      <c r="C33" s="5" t="s">
        <v>142</v>
      </c>
      <c r="D33" s="5" t="s">
        <v>143</v>
      </c>
      <c r="E33" s="6">
        <v>24165</v>
      </c>
      <c r="F33" s="5" t="s">
        <v>12</v>
      </c>
      <c r="H33" s="5" t="s">
        <v>14</v>
      </c>
      <c r="J33" t="str" cm="1">
        <f t="array" ref="J33">IF(ISNA(MATCH(L33,$K$1:K32+K34:K178,0)),"Unique","Duplicate")</f>
        <v>Unique</v>
      </c>
      <c r="K33" t="str">
        <f>UPPER(_xlfn.CONCAT(Form_Responses1[[#This Row],[Prénom]], " ", Form_Responses1[[#This Row],[Nom]]))</f>
        <v xml:space="preserve">JEAN LUC  FRIEDRICH </v>
      </c>
      <c r="L33" t="str">
        <f>UPPER(_xlfn.CONCAT(Form_Responses1[[#This Row],[Prénom]], " ", Form_Responses1[[#This Row],[Nom]]))</f>
        <v xml:space="preserve">JEAN LUC  FRIEDRICH </v>
      </c>
      <c r="N33">
        <f t="shared" si="0"/>
        <v>1</v>
      </c>
    </row>
    <row r="34" spans="1:14" x14ac:dyDescent="0.2">
      <c r="A34" s="9">
        <v>45690.847221793985</v>
      </c>
      <c r="B34" s="10" t="s">
        <v>144</v>
      </c>
      <c r="C34" s="10" t="s">
        <v>145</v>
      </c>
      <c r="D34" s="10" t="s">
        <v>146</v>
      </c>
      <c r="E34" s="11">
        <v>28420</v>
      </c>
      <c r="F34" s="10" t="s">
        <v>12</v>
      </c>
      <c r="G34" s="12" t="s">
        <v>147</v>
      </c>
      <c r="J34" t="str" cm="1">
        <f t="array" ref="J34">IF(ISNA(MATCH(L34,$K$1:K33+K35:K179,0)),"Unique","Duplicate")</f>
        <v>Unique</v>
      </c>
      <c r="K34" t="str">
        <f>UPPER(_xlfn.CONCAT(Form_Responses1[[#This Row],[Prénom]], " ", Form_Responses1[[#This Row],[Nom]]))</f>
        <v xml:space="preserve">SONIA BEAUMONT </v>
      </c>
      <c r="L34" t="str">
        <f>UPPER(_xlfn.CONCAT(Form_Responses1[[#This Row],[Prénom]], " ", Form_Responses1[[#This Row],[Nom]]))</f>
        <v xml:space="preserve">SONIA BEAUMONT </v>
      </c>
      <c r="N34">
        <f t="shared" ref="N34:N65" si="1">COUNTIFS(K:K,K34)</f>
        <v>1</v>
      </c>
    </row>
    <row r="35" spans="1:14" x14ac:dyDescent="0.2">
      <c r="A35" s="4">
        <v>45690.849271574072</v>
      </c>
      <c r="B35" s="5" t="s">
        <v>148</v>
      </c>
      <c r="C35" s="5" t="s">
        <v>149</v>
      </c>
      <c r="D35" s="5" t="s">
        <v>150</v>
      </c>
      <c r="E35" s="6">
        <v>29589</v>
      </c>
      <c r="F35" s="5" t="s">
        <v>12</v>
      </c>
      <c r="H35" s="5" t="s">
        <v>14</v>
      </c>
      <c r="J35" t="str" cm="1">
        <f t="array" ref="J35">IF(ISNA(MATCH(L35,$K$1:K34+K36:K180,0)),"Unique","Duplicate")</f>
        <v>Unique</v>
      </c>
      <c r="K35" t="str">
        <f>UPPER(_xlfn.CONCAT(Form_Responses1[[#This Row],[Prénom]], " ", Form_Responses1[[#This Row],[Nom]]))</f>
        <v xml:space="preserve">LAURENT  TROQUETTE </v>
      </c>
      <c r="L35" t="str">
        <f>UPPER(_xlfn.CONCAT(Form_Responses1[[#This Row],[Prénom]], " ", Form_Responses1[[#This Row],[Nom]]))</f>
        <v xml:space="preserve">LAURENT  TROQUETTE </v>
      </c>
      <c r="N35">
        <f t="shared" si="1"/>
        <v>1</v>
      </c>
    </row>
    <row r="36" spans="1:14" x14ac:dyDescent="0.2">
      <c r="A36" s="9">
        <v>45690.859408472221</v>
      </c>
      <c r="B36" s="10" t="s">
        <v>133</v>
      </c>
      <c r="C36" s="10" t="s">
        <v>151</v>
      </c>
      <c r="D36" s="10" t="s">
        <v>152</v>
      </c>
      <c r="E36" s="11">
        <v>23276</v>
      </c>
      <c r="F36" s="10" t="s">
        <v>12</v>
      </c>
      <c r="G36" s="12" t="s">
        <v>153</v>
      </c>
      <c r="H36" s="10" t="s">
        <v>30</v>
      </c>
      <c r="J36" t="str" cm="1">
        <f t="array" ref="J36">IF(ISNA(MATCH(L36,$K$1:K35+K37:K181,0)),"Unique","Duplicate")</f>
        <v>Unique</v>
      </c>
      <c r="K36" t="str">
        <f>UPPER(_xlfn.CONCAT(Form_Responses1[[#This Row],[Prénom]], " ", Form_Responses1[[#This Row],[Nom]]))</f>
        <v>CARINE MUNAUT</v>
      </c>
      <c r="L36" t="str">
        <f>UPPER(_xlfn.CONCAT(Form_Responses1[[#This Row],[Prénom]], " ", Form_Responses1[[#This Row],[Nom]]))</f>
        <v>CARINE MUNAUT</v>
      </c>
      <c r="N36">
        <f t="shared" si="1"/>
        <v>1</v>
      </c>
    </row>
    <row r="37" spans="1:14" x14ac:dyDescent="0.2">
      <c r="A37" s="4">
        <v>45690.869607465276</v>
      </c>
      <c r="B37" s="5" t="s">
        <v>26</v>
      </c>
      <c r="C37" s="5" t="s">
        <v>154</v>
      </c>
      <c r="D37" s="5" t="s">
        <v>155</v>
      </c>
      <c r="E37" s="6">
        <v>31118</v>
      </c>
      <c r="F37" s="5" t="s">
        <v>12</v>
      </c>
      <c r="H37" s="5" t="s">
        <v>156</v>
      </c>
      <c r="J37" t="str" cm="1">
        <f t="array" ref="J37">IF(ISNA(MATCH(L37,$K$1:K36+K38:K182,0)),"Unique","Duplicate")</f>
        <v>Unique</v>
      </c>
      <c r="K37" t="str">
        <f>UPPER(_xlfn.CONCAT(Form_Responses1[[#This Row],[Prénom]], " ", Form_Responses1[[#This Row],[Nom]]))</f>
        <v xml:space="preserve">DANIEL  KLARZYNSKI </v>
      </c>
      <c r="L37" t="str">
        <f>UPPER(_xlfn.CONCAT(Form_Responses1[[#This Row],[Prénom]], " ", Form_Responses1[[#This Row],[Nom]]))</f>
        <v xml:space="preserve">DANIEL  KLARZYNSKI </v>
      </c>
      <c r="N37">
        <f t="shared" si="1"/>
        <v>1</v>
      </c>
    </row>
    <row r="38" spans="1:14" x14ac:dyDescent="0.2">
      <c r="A38" s="9">
        <v>45690.871632685186</v>
      </c>
      <c r="B38" s="10" t="s">
        <v>157</v>
      </c>
      <c r="C38" s="10" t="s">
        <v>158</v>
      </c>
      <c r="D38" s="10" t="s">
        <v>159</v>
      </c>
      <c r="E38" s="11">
        <v>30994</v>
      </c>
      <c r="F38" s="10" t="s">
        <v>12</v>
      </c>
      <c r="H38" s="10" t="s">
        <v>160</v>
      </c>
      <c r="J38" t="str" cm="1">
        <f t="array" ref="J38">IF(ISNA(MATCH(L38,$K$1:K37+K39:K183,0)),"Unique","Duplicate")</f>
        <v>Unique</v>
      </c>
      <c r="K38" t="str">
        <f>UPPER(_xlfn.CONCAT(Form_Responses1[[#This Row],[Prénom]], " ", Form_Responses1[[#This Row],[Nom]]))</f>
        <v xml:space="preserve">MASSIMO  RAGUSA </v>
      </c>
      <c r="L38" t="str">
        <f>UPPER(_xlfn.CONCAT(Form_Responses1[[#This Row],[Prénom]], " ", Form_Responses1[[#This Row],[Nom]]))</f>
        <v xml:space="preserve">MASSIMO  RAGUSA </v>
      </c>
      <c r="N38">
        <f t="shared" si="1"/>
        <v>1</v>
      </c>
    </row>
    <row r="39" spans="1:14" x14ac:dyDescent="0.2">
      <c r="A39" s="4">
        <v>45690.882768807875</v>
      </c>
      <c r="B39" s="5" t="s">
        <v>161</v>
      </c>
      <c r="C39" s="5" t="s">
        <v>162</v>
      </c>
      <c r="D39" s="5" t="s">
        <v>163</v>
      </c>
      <c r="E39" s="6">
        <v>29898</v>
      </c>
      <c r="F39" s="5" t="s">
        <v>12</v>
      </c>
      <c r="H39" s="5" t="s">
        <v>14</v>
      </c>
      <c r="J39" t="str" cm="1">
        <f t="array" ref="J39">IF(ISNA(MATCH(L39,$K$1:K38+K40:K184,0)),"Unique","Duplicate")</f>
        <v>Unique</v>
      </c>
      <c r="K39" t="str">
        <f>UPPER(_xlfn.CONCAT(Form_Responses1[[#This Row],[Prénom]], " ", Form_Responses1[[#This Row],[Nom]]))</f>
        <v>GIUSEPPE PUMA</v>
      </c>
      <c r="L39" t="str">
        <f>UPPER(_xlfn.CONCAT(Form_Responses1[[#This Row],[Prénom]], " ", Form_Responses1[[#This Row],[Nom]]))</f>
        <v>GIUSEPPE PUMA</v>
      </c>
      <c r="N39">
        <f t="shared" si="1"/>
        <v>1</v>
      </c>
    </row>
    <row r="40" spans="1:14" x14ac:dyDescent="0.2">
      <c r="A40" s="9">
        <v>45690.887634432875</v>
      </c>
      <c r="B40" s="10" t="s">
        <v>164</v>
      </c>
      <c r="C40" s="10" t="s">
        <v>165</v>
      </c>
      <c r="D40" s="10" t="s">
        <v>166</v>
      </c>
      <c r="E40" s="11">
        <v>30021</v>
      </c>
      <c r="F40" s="10" t="s">
        <v>12</v>
      </c>
      <c r="G40" s="10" t="s">
        <v>167</v>
      </c>
      <c r="H40" s="10" t="s">
        <v>30</v>
      </c>
      <c r="J40" t="str" cm="1">
        <f t="array" ref="J40">IF(ISNA(MATCH(L40,$K$1:K39+K41:K185,0)),"Unique","Duplicate")</f>
        <v>Unique</v>
      </c>
      <c r="K40" t="str">
        <f>UPPER(_xlfn.CONCAT(Form_Responses1[[#This Row],[Prénom]], " ", Form_Responses1[[#This Row],[Nom]]))</f>
        <v xml:space="preserve">ROBERTO  ALBORES </v>
      </c>
      <c r="L40" t="str">
        <f>UPPER(_xlfn.CONCAT(Form_Responses1[[#This Row],[Prénom]], " ", Form_Responses1[[#This Row],[Nom]]))</f>
        <v xml:space="preserve">ROBERTO  ALBORES </v>
      </c>
      <c r="N40">
        <f t="shared" si="1"/>
        <v>1</v>
      </c>
    </row>
    <row r="41" spans="1:14" x14ac:dyDescent="0.2">
      <c r="A41" s="4">
        <v>45690.891341354167</v>
      </c>
      <c r="B41" s="5" t="s">
        <v>137</v>
      </c>
      <c r="C41" s="5" t="s">
        <v>168</v>
      </c>
      <c r="D41" s="5" t="s">
        <v>169</v>
      </c>
      <c r="E41" s="6">
        <v>26726</v>
      </c>
      <c r="F41" s="5" t="s">
        <v>12</v>
      </c>
      <c r="G41" s="7" t="s">
        <v>170</v>
      </c>
      <c r="J41" t="str" cm="1">
        <f t="array" ref="J41">IF(ISNA(MATCH(L41,$K$1:K40+K42:K186,0)),"Unique","Duplicate")</f>
        <v>Unique</v>
      </c>
      <c r="K41" t="str">
        <f>UPPER(_xlfn.CONCAT(Form_Responses1[[#This Row],[Prénom]], " ", Form_Responses1[[#This Row],[Nom]]))</f>
        <v xml:space="preserve">ISABELLE  GURNY </v>
      </c>
      <c r="L41" t="str">
        <f>UPPER(_xlfn.CONCAT(Form_Responses1[[#This Row],[Prénom]], " ", Form_Responses1[[#This Row],[Nom]]))</f>
        <v xml:space="preserve">ISABELLE  GURNY </v>
      </c>
      <c r="N41">
        <f t="shared" si="1"/>
        <v>1</v>
      </c>
    </row>
    <row r="42" spans="1:14" x14ac:dyDescent="0.2">
      <c r="A42" s="9">
        <v>45690.891622939816</v>
      </c>
      <c r="B42" s="10" t="s">
        <v>171</v>
      </c>
      <c r="C42" s="10" t="s">
        <v>172</v>
      </c>
      <c r="D42" s="10" t="s">
        <v>173</v>
      </c>
      <c r="E42" s="11">
        <v>25061</v>
      </c>
      <c r="F42" s="10" t="s">
        <v>12</v>
      </c>
      <c r="G42" s="10" t="s">
        <v>174</v>
      </c>
      <c r="H42" s="10" t="s">
        <v>14</v>
      </c>
      <c r="J42" t="str" cm="1">
        <f t="array" ref="J42">IF(ISNA(MATCH(L42,$K$1:K41+K43:K187,0)),"Unique","Duplicate")</f>
        <v>Unique</v>
      </c>
      <c r="K42" t="str">
        <f>UPPER(_xlfn.CONCAT(Form_Responses1[[#This Row],[Prénom]], " ", Form_Responses1[[#This Row],[Nom]]))</f>
        <v xml:space="preserve">EVANS  JACQUES </v>
      </c>
      <c r="L42" t="str">
        <f>UPPER(_xlfn.CONCAT(Form_Responses1[[#This Row],[Prénom]], " ", Form_Responses1[[#This Row],[Nom]]))</f>
        <v xml:space="preserve">EVANS  JACQUES </v>
      </c>
      <c r="N42">
        <f t="shared" si="1"/>
        <v>1</v>
      </c>
    </row>
    <row r="43" spans="1:14" x14ac:dyDescent="0.2">
      <c r="A43" s="4">
        <v>45690.896725497689</v>
      </c>
      <c r="B43" s="5" t="s">
        <v>175</v>
      </c>
      <c r="C43" s="5" t="s">
        <v>176</v>
      </c>
      <c r="D43" s="5" t="s">
        <v>177</v>
      </c>
      <c r="E43" s="6">
        <v>33478</v>
      </c>
      <c r="F43" s="5" t="s">
        <v>12</v>
      </c>
      <c r="G43" s="7" t="s">
        <v>178</v>
      </c>
      <c r="H43" s="5" t="s">
        <v>129</v>
      </c>
      <c r="J43" t="str" cm="1">
        <f t="array" ref="J43">IF(ISNA(MATCH(L43,$K$1:K42+K44:K188,0)),"Unique","Duplicate")</f>
        <v>Unique</v>
      </c>
      <c r="K43" t="str">
        <f>UPPER(_xlfn.CONCAT(Form_Responses1[[#This Row],[Prénom]], " ", Form_Responses1[[#This Row],[Nom]]))</f>
        <v xml:space="preserve">MARIO  FORTUNATO </v>
      </c>
      <c r="L43" t="str">
        <f>UPPER(_xlfn.CONCAT(Form_Responses1[[#This Row],[Prénom]], " ", Form_Responses1[[#This Row],[Nom]]))</f>
        <v xml:space="preserve">MARIO  FORTUNATO </v>
      </c>
      <c r="N43">
        <f t="shared" si="1"/>
        <v>1</v>
      </c>
    </row>
    <row r="44" spans="1:14" x14ac:dyDescent="0.2">
      <c r="A44" s="9">
        <v>45690.902334444443</v>
      </c>
      <c r="B44" s="10" t="s">
        <v>179</v>
      </c>
      <c r="C44" s="10" t="s">
        <v>180</v>
      </c>
      <c r="D44" s="10" t="s">
        <v>181</v>
      </c>
      <c r="E44" s="11">
        <v>26561</v>
      </c>
      <c r="F44" s="10" t="s">
        <v>12</v>
      </c>
      <c r="G44" s="10">
        <v>478281552</v>
      </c>
      <c r="H44" s="10" t="s">
        <v>43</v>
      </c>
      <c r="J44" t="str" cm="1">
        <f t="array" ref="J44">IF(ISNA(MATCH(L44,$K$1:K43+K45:K189,0)),"Unique","Duplicate")</f>
        <v>Unique</v>
      </c>
      <c r="K44" t="str">
        <f>UPPER(_xlfn.CONCAT(Form_Responses1[[#This Row],[Prénom]], " ", Form_Responses1[[#This Row],[Nom]]))</f>
        <v>CYMON BIRTLES</v>
      </c>
      <c r="L44" t="str">
        <f>UPPER(_xlfn.CONCAT(Form_Responses1[[#This Row],[Prénom]], " ", Form_Responses1[[#This Row],[Nom]]))</f>
        <v>CYMON BIRTLES</v>
      </c>
      <c r="N44">
        <f t="shared" si="1"/>
        <v>1</v>
      </c>
    </row>
    <row r="45" spans="1:14" x14ac:dyDescent="0.2">
      <c r="A45" s="4">
        <v>45690.905070659719</v>
      </c>
      <c r="B45" s="5" t="s">
        <v>182</v>
      </c>
      <c r="C45" s="5" t="s">
        <v>183</v>
      </c>
      <c r="D45" s="5" t="s">
        <v>184</v>
      </c>
      <c r="E45" s="6">
        <v>25689</v>
      </c>
      <c r="F45" s="5" t="s">
        <v>12</v>
      </c>
      <c r="G45" s="7" t="s">
        <v>185</v>
      </c>
      <c r="H45" s="5" t="s">
        <v>186</v>
      </c>
      <c r="J45" t="str" cm="1">
        <f t="array" ref="J45">IF(ISNA(MATCH(L45,$K$1:K44+K46:K190,0)),"Unique","Duplicate")</f>
        <v>Unique</v>
      </c>
      <c r="K45" t="str">
        <f>UPPER(_xlfn.CONCAT(Form_Responses1[[#This Row],[Prénom]], " ", Form_Responses1[[#This Row],[Nom]]))</f>
        <v>PATRICIA  PAGNOUL</v>
      </c>
      <c r="L45" t="str">
        <f>UPPER(_xlfn.CONCAT(Form_Responses1[[#This Row],[Prénom]], " ", Form_Responses1[[#This Row],[Nom]]))</f>
        <v>PATRICIA  PAGNOUL</v>
      </c>
      <c r="N45">
        <f t="shared" si="1"/>
        <v>1</v>
      </c>
    </row>
    <row r="46" spans="1:14" x14ac:dyDescent="0.2">
      <c r="A46" s="9">
        <v>45690.912609421299</v>
      </c>
      <c r="B46" s="10" t="s">
        <v>187</v>
      </c>
      <c r="C46" s="10" t="s">
        <v>188</v>
      </c>
      <c r="D46" s="10" t="s">
        <v>189</v>
      </c>
      <c r="E46" s="11">
        <v>23392</v>
      </c>
      <c r="F46" s="10" t="s">
        <v>12</v>
      </c>
      <c r="J46" t="str" cm="1">
        <f t="array" ref="J46">IF(ISNA(MATCH(L46,$K$1:K45+K47:K191,0)),"Unique","Duplicate")</f>
        <v>Unique</v>
      </c>
      <c r="K46" t="str">
        <f>UPPER(_xlfn.CONCAT(Form_Responses1[[#This Row],[Prénom]], " ", Form_Responses1[[#This Row],[Nom]]))</f>
        <v xml:space="preserve">BERT ERNEST </v>
      </c>
      <c r="L46" t="str">
        <f>UPPER(_xlfn.CONCAT(Form_Responses1[[#This Row],[Prénom]], " ", Form_Responses1[[#This Row],[Nom]]))</f>
        <v xml:space="preserve">BERT ERNEST </v>
      </c>
      <c r="N46">
        <f t="shared" si="1"/>
        <v>1</v>
      </c>
    </row>
    <row r="47" spans="1:14" x14ac:dyDescent="0.2">
      <c r="A47" s="4">
        <v>45690.945356863427</v>
      </c>
      <c r="B47" s="5" t="s">
        <v>190</v>
      </c>
      <c r="C47" s="5" t="s">
        <v>191</v>
      </c>
      <c r="D47" s="5" t="s">
        <v>192</v>
      </c>
      <c r="E47" s="6">
        <v>26015</v>
      </c>
      <c r="F47" s="5" t="s">
        <v>12</v>
      </c>
      <c r="G47" s="5" t="s">
        <v>193</v>
      </c>
      <c r="H47" s="5" t="s">
        <v>194</v>
      </c>
      <c r="J47" t="str" cm="1">
        <f t="array" ref="J47">IF(ISNA(MATCH(L47,$K$1:K46+K48:K192,0)),"Unique","Duplicate")</f>
        <v>Unique</v>
      </c>
      <c r="K47" t="str">
        <f>UPPER(_xlfn.CONCAT(Form_Responses1[[#This Row],[Prénom]], " ", Form_Responses1[[#This Row],[Nom]]))</f>
        <v xml:space="preserve">PATRICK  TIXHON </v>
      </c>
      <c r="L47" t="str">
        <f>UPPER(_xlfn.CONCAT(Form_Responses1[[#This Row],[Prénom]], " ", Form_Responses1[[#This Row],[Nom]]))</f>
        <v xml:space="preserve">PATRICK  TIXHON </v>
      </c>
      <c r="N47">
        <f t="shared" si="1"/>
        <v>1</v>
      </c>
    </row>
    <row r="48" spans="1:14" x14ac:dyDescent="0.2">
      <c r="A48" s="9">
        <v>45690.956148807869</v>
      </c>
      <c r="B48" s="10" t="s">
        <v>195</v>
      </c>
      <c r="C48" s="10" t="s">
        <v>196</v>
      </c>
      <c r="D48" s="10" t="s">
        <v>197</v>
      </c>
      <c r="E48" s="11">
        <v>45697</v>
      </c>
      <c r="F48" s="10" t="s">
        <v>12</v>
      </c>
      <c r="G48" s="12" t="s">
        <v>198</v>
      </c>
      <c r="J48" t="str" cm="1">
        <f t="array" ref="J48">IF(ISNA(MATCH(L48,$K$1:K47+K49:K193,0)),"Unique","Duplicate")</f>
        <v>Unique</v>
      </c>
      <c r="K48" t="str">
        <f>UPPER(_xlfn.CONCAT(Form_Responses1[[#This Row],[Prénom]], " ", Form_Responses1[[#This Row],[Nom]]))</f>
        <v xml:space="preserve">GIOVANNA  PILLITTERI </v>
      </c>
      <c r="L48" t="str">
        <f>UPPER(_xlfn.CONCAT(Form_Responses1[[#This Row],[Prénom]], " ", Form_Responses1[[#This Row],[Nom]]))</f>
        <v xml:space="preserve">GIOVANNA  PILLITTERI </v>
      </c>
      <c r="N48">
        <f t="shared" si="1"/>
        <v>1</v>
      </c>
    </row>
    <row r="49" spans="1:14" x14ac:dyDescent="0.2">
      <c r="A49" s="4">
        <v>45690.96874217593</v>
      </c>
      <c r="B49" s="5" t="s">
        <v>199</v>
      </c>
      <c r="C49" s="5" t="s">
        <v>200</v>
      </c>
      <c r="D49" s="5" t="s">
        <v>201</v>
      </c>
      <c r="E49" s="6">
        <v>23481</v>
      </c>
      <c r="F49" s="5" t="s">
        <v>12</v>
      </c>
      <c r="G49" s="5" t="s">
        <v>202</v>
      </c>
      <c r="H49" s="5" t="s">
        <v>203</v>
      </c>
      <c r="J49" t="str" cm="1">
        <f t="array" ref="J49">IF(ISNA(MATCH(L49,$K$1:K48+K50:K194,0)),"Unique","Duplicate")</f>
        <v>Unique</v>
      </c>
      <c r="K49" t="str">
        <f>UPPER(_xlfn.CONCAT(Form_Responses1[[#This Row],[Prénom]], " ", Form_Responses1[[#This Row],[Nom]]))</f>
        <v xml:space="preserve">MONIQUE  NIZET </v>
      </c>
      <c r="L49" t="str">
        <f>UPPER(_xlfn.CONCAT(Form_Responses1[[#This Row],[Prénom]], " ", Form_Responses1[[#This Row],[Nom]]))</f>
        <v xml:space="preserve">MONIQUE  NIZET </v>
      </c>
      <c r="N49">
        <f t="shared" si="1"/>
        <v>1</v>
      </c>
    </row>
    <row r="50" spans="1:14" x14ac:dyDescent="0.2">
      <c r="A50" s="9">
        <v>45690.972033275466</v>
      </c>
      <c r="B50" s="10" t="s">
        <v>204</v>
      </c>
      <c r="C50" s="10" t="s">
        <v>205</v>
      </c>
      <c r="D50" s="10" t="s">
        <v>21</v>
      </c>
      <c r="E50" s="11">
        <v>23785</v>
      </c>
      <c r="F50" s="10" t="s">
        <v>12</v>
      </c>
      <c r="J50" t="str" cm="1">
        <f t="array" ref="J50">IF(ISNA(MATCH(L50,$K$1:K49+K51:K195,0)),"Unique","Duplicate")</f>
        <v>Unique</v>
      </c>
      <c r="K50" t="str">
        <f>UPPER(_xlfn.CONCAT(Form_Responses1[[#This Row],[Prénom]], " ", Form_Responses1[[#This Row],[Nom]]))</f>
        <v xml:space="preserve">ALAIN  MARCHAL </v>
      </c>
      <c r="L50" t="str">
        <f>UPPER(_xlfn.CONCAT(Form_Responses1[[#This Row],[Prénom]], " ", Form_Responses1[[#This Row],[Nom]]))</f>
        <v xml:space="preserve">ALAIN  MARCHAL </v>
      </c>
      <c r="N50">
        <f t="shared" si="1"/>
        <v>1</v>
      </c>
    </row>
    <row r="51" spans="1:14" x14ac:dyDescent="0.2">
      <c r="A51" s="4">
        <v>45691.259733506944</v>
      </c>
      <c r="B51" s="5" t="s">
        <v>206</v>
      </c>
      <c r="C51" s="5" t="s">
        <v>207</v>
      </c>
      <c r="D51" s="5" t="s">
        <v>208</v>
      </c>
      <c r="E51" s="6">
        <v>23779</v>
      </c>
      <c r="F51" s="5" t="s">
        <v>12</v>
      </c>
      <c r="G51" s="7" t="s">
        <v>209</v>
      </c>
      <c r="H51" s="5" t="s">
        <v>14</v>
      </c>
      <c r="J51" t="str" cm="1">
        <f t="array" ref="J51">IF(ISNA(MATCH(L51,$K$1:K50+K52:K196,0)),"Unique","Duplicate")</f>
        <v>Unique</v>
      </c>
      <c r="K51" t="str">
        <f>UPPER(_xlfn.CONCAT(Form_Responses1[[#This Row],[Prénom]], " ", Form_Responses1[[#This Row],[Nom]]))</f>
        <v>JEAN MARC CUCCURU</v>
      </c>
      <c r="L51" t="str">
        <f>UPPER(_xlfn.CONCAT(Form_Responses1[[#This Row],[Prénom]], " ", Form_Responses1[[#This Row],[Nom]]))</f>
        <v>JEAN MARC CUCCURU</v>
      </c>
      <c r="N51">
        <f t="shared" si="1"/>
        <v>1</v>
      </c>
    </row>
    <row r="52" spans="1:14" x14ac:dyDescent="0.2">
      <c r="A52" s="9">
        <v>45691.261617314813</v>
      </c>
      <c r="B52" s="10" t="s">
        <v>210</v>
      </c>
      <c r="C52" s="10" t="s">
        <v>207</v>
      </c>
      <c r="D52" s="10" t="s">
        <v>211</v>
      </c>
      <c r="E52" s="11">
        <v>19799</v>
      </c>
      <c r="F52" s="10" t="s">
        <v>12</v>
      </c>
      <c r="G52" s="12" t="s">
        <v>212</v>
      </c>
      <c r="H52" s="10" t="s">
        <v>14</v>
      </c>
      <c r="J52" t="str" cm="1">
        <f t="array" ref="J52">IF(ISNA(MATCH(L52,$K$1:K51+K53:K197,0)),"Unique","Duplicate")</f>
        <v>Unique</v>
      </c>
      <c r="K52" t="str">
        <f>UPPER(_xlfn.CONCAT(Form_Responses1[[#This Row],[Prénom]], " ", Form_Responses1[[#This Row],[Nom]]))</f>
        <v xml:space="preserve">HONORINA SZWAJKAJZER </v>
      </c>
      <c r="L52" t="str">
        <f>UPPER(_xlfn.CONCAT(Form_Responses1[[#This Row],[Prénom]], " ", Form_Responses1[[#This Row],[Nom]]))</f>
        <v xml:space="preserve">HONORINA SZWAJKAJZER </v>
      </c>
      <c r="N52">
        <f t="shared" si="1"/>
        <v>1</v>
      </c>
    </row>
    <row r="53" spans="1:14" x14ac:dyDescent="0.2">
      <c r="A53" s="4">
        <v>45691.325598414347</v>
      </c>
      <c r="B53" s="5" t="s">
        <v>213</v>
      </c>
      <c r="C53" s="5" t="s">
        <v>214</v>
      </c>
      <c r="D53" s="5" t="s">
        <v>215</v>
      </c>
      <c r="E53" s="6">
        <v>29580</v>
      </c>
      <c r="F53" s="5" t="s">
        <v>12</v>
      </c>
      <c r="G53" s="5" t="s">
        <v>216</v>
      </c>
      <c r="H53" s="5" t="s">
        <v>14</v>
      </c>
      <c r="J53" t="str" cm="1">
        <f t="array" ref="J53">IF(ISNA(MATCH(L53,$K$1:K52+K54:K198,0)),"Unique","Duplicate")</f>
        <v>Unique</v>
      </c>
      <c r="K53" t="str">
        <f>UPPER(_xlfn.CONCAT(Form_Responses1[[#This Row],[Prénom]], " ", Form_Responses1[[#This Row],[Nom]]))</f>
        <v>SOLANGE ANTOINE</v>
      </c>
      <c r="L53" t="str">
        <f>UPPER(_xlfn.CONCAT(Form_Responses1[[#This Row],[Prénom]], " ", Form_Responses1[[#This Row],[Nom]]))</f>
        <v>SOLANGE ANTOINE</v>
      </c>
      <c r="N53">
        <f t="shared" si="1"/>
        <v>1</v>
      </c>
    </row>
    <row r="54" spans="1:14" x14ac:dyDescent="0.2">
      <c r="A54" s="9">
        <v>45691.351113541663</v>
      </c>
      <c r="B54" s="10" t="s">
        <v>217</v>
      </c>
      <c r="C54" s="10" t="s">
        <v>218</v>
      </c>
      <c r="D54" s="10" t="s">
        <v>219</v>
      </c>
      <c r="E54" s="11">
        <v>24348</v>
      </c>
      <c r="F54" s="10" t="s">
        <v>12</v>
      </c>
      <c r="G54" s="12" t="s">
        <v>220</v>
      </c>
      <c r="H54" s="10" t="s">
        <v>186</v>
      </c>
      <c r="J54" t="str" cm="1">
        <f t="array" ref="J54">IF(ISNA(MATCH(L54,$K$1:K53+K55:K199,0)),"Unique","Duplicate")</f>
        <v>Unique</v>
      </c>
      <c r="K54" t="str">
        <f>UPPER(_xlfn.CONCAT(Form_Responses1[[#This Row],[Prénom]], " ", Form_Responses1[[#This Row],[Nom]]))</f>
        <v xml:space="preserve">ANTONELLA  CASTIGLIONE </v>
      </c>
      <c r="L54" t="str">
        <f>UPPER(_xlfn.CONCAT(Form_Responses1[[#This Row],[Prénom]], " ", Form_Responses1[[#This Row],[Nom]]))</f>
        <v xml:space="preserve">ANTONELLA  CASTIGLIONE </v>
      </c>
      <c r="N54">
        <f t="shared" si="1"/>
        <v>1</v>
      </c>
    </row>
    <row r="55" spans="1:14" x14ac:dyDescent="0.2">
      <c r="A55" s="4">
        <v>45691.355252581023</v>
      </c>
      <c r="B55" s="5" t="s">
        <v>221</v>
      </c>
      <c r="C55" s="5" t="s">
        <v>222</v>
      </c>
      <c r="D55" s="5" t="s">
        <v>223</v>
      </c>
      <c r="E55" s="6">
        <v>26131</v>
      </c>
      <c r="F55" s="5" t="s">
        <v>12</v>
      </c>
      <c r="G55" s="7" t="s">
        <v>224</v>
      </c>
      <c r="H55" s="5" t="s">
        <v>225</v>
      </c>
      <c r="J55" t="str" cm="1">
        <f t="array" ref="J55">IF(ISNA(MATCH(L55,$K$1:K54+K56:K200,0)),"Unique","Duplicate")</f>
        <v>Unique</v>
      </c>
      <c r="K55" t="str">
        <f>UPPER(_xlfn.CONCAT(Form_Responses1[[#This Row],[Prénom]], " ", Form_Responses1[[#This Row],[Nom]]))</f>
        <v>DIDIER LOPEZ NAVA</v>
      </c>
      <c r="L55" t="str">
        <f>UPPER(_xlfn.CONCAT(Form_Responses1[[#This Row],[Prénom]], " ", Form_Responses1[[#This Row],[Nom]]))</f>
        <v>DIDIER LOPEZ NAVA</v>
      </c>
      <c r="N55">
        <f t="shared" si="1"/>
        <v>1</v>
      </c>
    </row>
    <row r="56" spans="1:14" x14ac:dyDescent="0.2">
      <c r="A56" s="9">
        <v>45691.355794930554</v>
      </c>
      <c r="B56" s="10" t="s">
        <v>226</v>
      </c>
      <c r="C56" s="10" t="s">
        <v>227</v>
      </c>
      <c r="D56" s="10" t="s">
        <v>120</v>
      </c>
      <c r="E56" s="11">
        <v>25776</v>
      </c>
      <c r="F56" s="10" t="s">
        <v>12</v>
      </c>
      <c r="G56" s="12" t="s">
        <v>228</v>
      </c>
      <c r="H56" s="10" t="s">
        <v>225</v>
      </c>
      <c r="J56" t="str" cm="1">
        <f t="array" ref="J56">IF(ISNA(MATCH(L56,$K$1:K55+K57:K201,0)),"Unique","Duplicate")</f>
        <v>Unique</v>
      </c>
      <c r="K56" t="str">
        <f>UPPER(_xlfn.CONCAT(Form_Responses1[[#This Row],[Prénom]], " ", Form_Responses1[[#This Row],[Nom]]))</f>
        <v>MARIANNE DUMONT</v>
      </c>
      <c r="L56" t="str">
        <f>UPPER(_xlfn.CONCAT(Form_Responses1[[#This Row],[Prénom]], " ", Form_Responses1[[#This Row],[Nom]]))</f>
        <v>MARIANNE DUMONT</v>
      </c>
      <c r="N56">
        <f t="shared" si="1"/>
        <v>1</v>
      </c>
    </row>
    <row r="57" spans="1:14" x14ac:dyDescent="0.2">
      <c r="A57" s="4">
        <v>45691.357090937498</v>
      </c>
      <c r="B57" s="5" t="s">
        <v>229</v>
      </c>
      <c r="C57" s="5" t="s">
        <v>230</v>
      </c>
      <c r="D57" s="5" t="s">
        <v>231</v>
      </c>
      <c r="E57" s="6">
        <v>31271</v>
      </c>
      <c r="F57" s="5" t="s">
        <v>12</v>
      </c>
      <c r="G57" s="7" t="s">
        <v>232</v>
      </c>
      <c r="H57" s="5" t="s">
        <v>102</v>
      </c>
      <c r="J57" t="str" cm="1">
        <f t="array" ref="J57">IF(ISNA(MATCH(L57,$K$1:K56+K58:K202,0)),"Unique","Duplicate")</f>
        <v>Unique</v>
      </c>
      <c r="K57" t="str">
        <f>UPPER(_xlfn.CONCAT(Form_Responses1[[#This Row],[Prénom]], " ", Form_Responses1[[#This Row],[Nom]]))</f>
        <v>ANAEL ARGENTO</v>
      </c>
      <c r="L57" t="str">
        <f>UPPER(_xlfn.CONCAT(Form_Responses1[[#This Row],[Prénom]], " ", Form_Responses1[[#This Row],[Nom]]))</f>
        <v>ANAEL ARGENTO</v>
      </c>
      <c r="N57">
        <f t="shared" si="1"/>
        <v>1</v>
      </c>
    </row>
    <row r="58" spans="1:14" x14ac:dyDescent="0.2">
      <c r="A58" s="9">
        <v>45691.358078703706</v>
      </c>
      <c r="B58" s="10" t="s">
        <v>233</v>
      </c>
      <c r="C58" s="10" t="s">
        <v>230</v>
      </c>
      <c r="D58" s="10" t="s">
        <v>231</v>
      </c>
      <c r="E58" s="11">
        <v>31271</v>
      </c>
      <c r="F58" s="10" t="s">
        <v>12</v>
      </c>
      <c r="G58" s="12" t="s">
        <v>232</v>
      </c>
      <c r="H58" s="10" t="s">
        <v>102</v>
      </c>
      <c r="J58" t="str" cm="1">
        <f t="array" ref="J58">IF(ISNA(MATCH(L58,$K$1:K57+K59:K203,0)),"Unique","Duplicate")</f>
        <v>Unique</v>
      </c>
      <c r="K58" t="str">
        <f>UPPER(_xlfn.CONCAT(Form_Responses1[[#This Row],[Prénom]], " ", Form_Responses1[[#This Row],[Nom]]))</f>
        <v>ANAEL  ARGENTO</v>
      </c>
      <c r="L58" t="str">
        <f>UPPER(_xlfn.CONCAT(Form_Responses1[[#This Row],[Prénom]], " ", Form_Responses1[[#This Row],[Nom]]))</f>
        <v>ANAEL  ARGENTO</v>
      </c>
      <c r="N58">
        <f t="shared" si="1"/>
        <v>1</v>
      </c>
    </row>
    <row r="59" spans="1:14" x14ac:dyDescent="0.2">
      <c r="A59" s="4">
        <v>45691.388186932869</v>
      </c>
      <c r="B59" s="5" t="s">
        <v>234</v>
      </c>
      <c r="C59" s="5" t="s">
        <v>235</v>
      </c>
      <c r="D59" s="5" t="s">
        <v>236</v>
      </c>
      <c r="E59" s="6">
        <v>27429</v>
      </c>
      <c r="F59" s="5" t="s">
        <v>12</v>
      </c>
      <c r="H59" s="5" t="s">
        <v>14</v>
      </c>
      <c r="J59" t="str" cm="1">
        <f t="array" ref="J59">IF(ISNA(MATCH(L59,$K$1:K58+K60:K204,0)),"Unique","Duplicate")</f>
        <v>Unique</v>
      </c>
      <c r="K59" t="str">
        <f>UPPER(_xlfn.CONCAT(Form_Responses1[[#This Row],[Prénom]], " ", Form_Responses1[[#This Row],[Nom]]))</f>
        <v>KAMAL AZZOUZ</v>
      </c>
      <c r="L59" t="str">
        <f>UPPER(_xlfn.CONCAT(Form_Responses1[[#This Row],[Prénom]], " ", Form_Responses1[[#This Row],[Nom]]))</f>
        <v>KAMAL AZZOUZ</v>
      </c>
      <c r="N59">
        <f t="shared" si="1"/>
        <v>1</v>
      </c>
    </row>
    <row r="60" spans="1:14" x14ac:dyDescent="0.2">
      <c r="A60" s="9">
        <v>45691.418972835643</v>
      </c>
      <c r="B60" s="10" t="s">
        <v>237</v>
      </c>
      <c r="C60" s="10" t="s">
        <v>238</v>
      </c>
      <c r="D60" s="10" t="s">
        <v>239</v>
      </c>
      <c r="E60" s="11">
        <v>28126</v>
      </c>
      <c r="F60" s="10" t="s">
        <v>12</v>
      </c>
      <c r="G60" s="12" t="s">
        <v>240</v>
      </c>
      <c r="H60" s="10" t="s">
        <v>241</v>
      </c>
      <c r="J60" t="str" cm="1">
        <f t="array" ref="J60">IF(ISNA(MATCH(L60,$K$1:K59+K61:K205,0)),"Unique","Duplicate")</f>
        <v>Unique</v>
      </c>
      <c r="K60" t="str">
        <f>UPPER(_xlfn.CONCAT(Form_Responses1[[#This Row],[Prénom]], " ", Form_Responses1[[#This Row],[Nom]]))</f>
        <v>RAPHAËL  HEINS</v>
      </c>
      <c r="L60" t="str">
        <f>UPPER(_xlfn.CONCAT(Form_Responses1[[#This Row],[Prénom]], " ", Form_Responses1[[#This Row],[Nom]]))</f>
        <v>RAPHAËL  HEINS</v>
      </c>
      <c r="N60">
        <f t="shared" si="1"/>
        <v>1</v>
      </c>
    </row>
    <row r="61" spans="1:14" x14ac:dyDescent="0.2">
      <c r="A61" s="9">
        <v>45691.422999918985</v>
      </c>
      <c r="B61" s="10" t="s">
        <v>242</v>
      </c>
      <c r="C61" s="10" t="s">
        <v>243</v>
      </c>
      <c r="D61" s="10" t="s">
        <v>244</v>
      </c>
      <c r="E61" s="11">
        <v>29859</v>
      </c>
      <c r="F61" s="10" t="s">
        <v>12</v>
      </c>
      <c r="G61" s="12" t="s">
        <v>245</v>
      </c>
      <c r="H61" s="10" t="s">
        <v>102</v>
      </c>
      <c r="J61" t="str" cm="1">
        <f t="array" ref="J61">IF(ISNA(MATCH(L61,$K$1:K60+K62:K207,0)),"Unique","Duplicate")</f>
        <v>Unique</v>
      </c>
      <c r="K61" t="str">
        <f>UPPER(_xlfn.CONCAT(Form_Responses1[[#This Row],[Prénom]], " ", Form_Responses1[[#This Row],[Nom]]))</f>
        <v>THIBAUT THOMASSIN</v>
      </c>
      <c r="L61" t="str">
        <f>UPPER(_xlfn.CONCAT(Form_Responses1[[#This Row],[Prénom]], " ", Form_Responses1[[#This Row],[Nom]]))</f>
        <v>THIBAUT THOMASSIN</v>
      </c>
      <c r="N61">
        <f t="shared" si="1"/>
        <v>1</v>
      </c>
    </row>
    <row r="62" spans="1:14" x14ac:dyDescent="0.2">
      <c r="A62" s="4">
        <v>45691.429936412038</v>
      </c>
      <c r="B62" s="5" t="s">
        <v>246</v>
      </c>
      <c r="C62" s="5" t="s">
        <v>247</v>
      </c>
      <c r="D62" s="5" t="s">
        <v>248</v>
      </c>
      <c r="E62" s="6">
        <v>31300</v>
      </c>
      <c r="F62" s="5" t="s">
        <v>12</v>
      </c>
      <c r="G62" s="7" t="s">
        <v>249</v>
      </c>
      <c r="H62" s="5" t="s">
        <v>43</v>
      </c>
      <c r="J62" t="str" cm="1">
        <f t="array" ref="J62">IF(ISNA(MATCH(L62,$K$1:K61+K63:K208,0)),"Unique","Duplicate")</f>
        <v>Unique</v>
      </c>
      <c r="K62" t="str">
        <f>UPPER(_xlfn.CONCAT(Form_Responses1[[#This Row],[Prénom]], " ", Form_Responses1[[#This Row],[Nom]]))</f>
        <v xml:space="preserve">CARINE  MAKINDO POMI </v>
      </c>
      <c r="L62" t="str">
        <f>UPPER(_xlfn.CONCAT(Form_Responses1[[#This Row],[Prénom]], " ", Form_Responses1[[#This Row],[Nom]]))</f>
        <v xml:space="preserve">CARINE  MAKINDO POMI </v>
      </c>
      <c r="N62">
        <f t="shared" si="1"/>
        <v>1</v>
      </c>
    </row>
    <row r="63" spans="1:14" x14ac:dyDescent="0.2">
      <c r="A63" s="9">
        <v>45691.441418796298</v>
      </c>
      <c r="B63" s="10" t="s">
        <v>250</v>
      </c>
      <c r="C63" s="10" t="s">
        <v>251</v>
      </c>
      <c r="D63" s="10" t="s">
        <v>252</v>
      </c>
      <c r="E63" s="11">
        <v>23745</v>
      </c>
      <c r="F63" s="10" t="s">
        <v>12</v>
      </c>
      <c r="G63" s="10">
        <v>474226714</v>
      </c>
      <c r="H63" s="10" t="s">
        <v>14</v>
      </c>
      <c r="J63" t="str" cm="1">
        <f t="array" ref="J63">IF(ISNA(MATCH(L63,$K$1:K62+K64:K209,0)),"Unique","Duplicate")</f>
        <v>Unique</v>
      </c>
      <c r="K63" t="str">
        <f>UPPER(_xlfn.CONCAT(Form_Responses1[[#This Row],[Prénom]], " ", Form_Responses1[[#This Row],[Nom]]))</f>
        <v xml:space="preserve">MICHEL  GRUSLIN </v>
      </c>
      <c r="L63" t="str">
        <f>UPPER(_xlfn.CONCAT(Form_Responses1[[#This Row],[Prénom]], " ", Form_Responses1[[#This Row],[Nom]]))</f>
        <v xml:space="preserve">MICHEL  GRUSLIN </v>
      </c>
      <c r="N63">
        <f t="shared" si="1"/>
        <v>1</v>
      </c>
    </row>
    <row r="64" spans="1:14" x14ac:dyDescent="0.2">
      <c r="A64" s="9">
        <v>45691.454679328701</v>
      </c>
      <c r="B64" s="10" t="s">
        <v>253</v>
      </c>
      <c r="C64" s="10" t="s">
        <v>254</v>
      </c>
      <c r="D64" s="10" t="s">
        <v>255</v>
      </c>
      <c r="E64" s="11">
        <v>25849</v>
      </c>
      <c r="F64" s="10" t="s">
        <v>12</v>
      </c>
      <c r="G64" s="12" t="s">
        <v>256</v>
      </c>
      <c r="H64" s="10" t="s">
        <v>14</v>
      </c>
      <c r="J64" t="str" cm="1">
        <f t="array" ref="J64">IF(ISNA(MATCH(L64,$K$1:K63+K65:K211,0)),"Unique","Duplicate")</f>
        <v>Unique</v>
      </c>
      <c r="K64" t="str">
        <f>UPPER(_xlfn.CONCAT(Form_Responses1[[#This Row],[Prénom]], " ", Form_Responses1[[#This Row],[Nom]]))</f>
        <v xml:space="preserve">ERIC  FIRQUET </v>
      </c>
      <c r="L64" t="str">
        <f>UPPER(_xlfn.CONCAT(Form_Responses1[[#This Row],[Prénom]], " ", Form_Responses1[[#This Row],[Nom]]))</f>
        <v xml:space="preserve">ERIC  FIRQUET </v>
      </c>
      <c r="N64">
        <f t="shared" si="1"/>
        <v>1</v>
      </c>
    </row>
    <row r="65" spans="1:14" x14ac:dyDescent="0.2">
      <c r="A65" s="4">
        <v>45691.466308622686</v>
      </c>
      <c r="B65" s="5" t="s">
        <v>257</v>
      </c>
      <c r="C65" s="5" t="s">
        <v>258</v>
      </c>
      <c r="D65" s="5" t="s">
        <v>259</v>
      </c>
      <c r="E65" s="6">
        <v>29591</v>
      </c>
      <c r="F65" s="5" t="s">
        <v>12</v>
      </c>
      <c r="H65" s="5" t="s">
        <v>43</v>
      </c>
      <c r="J65" t="str" cm="1">
        <f t="array" ref="J65">IF(ISNA(MATCH(L65,$K$1:K64+K66:K212,0)),"Unique","Duplicate")</f>
        <v>Unique</v>
      </c>
      <c r="K65" t="str">
        <f>UPPER(_xlfn.CONCAT(Form_Responses1[[#This Row],[Prénom]], " ", Form_Responses1[[#This Row],[Nom]]))</f>
        <v>ROLAND KUPPER</v>
      </c>
      <c r="L65" t="str">
        <f>UPPER(_xlfn.CONCAT(Form_Responses1[[#This Row],[Prénom]], " ", Form_Responses1[[#This Row],[Nom]]))</f>
        <v>ROLAND KUPPER</v>
      </c>
      <c r="N65">
        <f t="shared" si="1"/>
        <v>1</v>
      </c>
    </row>
    <row r="66" spans="1:14" x14ac:dyDescent="0.2">
      <c r="A66" s="9">
        <v>45691.474925787035</v>
      </c>
      <c r="B66" s="10" t="s">
        <v>260</v>
      </c>
      <c r="C66" s="10" t="s">
        <v>261</v>
      </c>
      <c r="D66" s="10" t="s">
        <v>262</v>
      </c>
      <c r="E66" s="11">
        <v>45580</v>
      </c>
      <c r="F66" s="10" t="s">
        <v>12</v>
      </c>
      <c r="G66" s="12" t="s">
        <v>263</v>
      </c>
      <c r="H66" s="10" t="s">
        <v>30</v>
      </c>
      <c r="J66" t="str" cm="1">
        <f t="array" ref="J66">IF(ISNA(MATCH(L66,$K$1:K65+K67:K213,0)),"Unique","Duplicate")</f>
        <v>Unique</v>
      </c>
      <c r="K66" t="str">
        <f>UPPER(_xlfn.CONCAT(Form_Responses1[[#This Row],[Prénom]], " ", Form_Responses1[[#This Row],[Nom]]))</f>
        <v>GUÉNAËL  DEVILLET</v>
      </c>
      <c r="L66" t="str">
        <f>UPPER(_xlfn.CONCAT(Form_Responses1[[#This Row],[Prénom]], " ", Form_Responses1[[#This Row],[Nom]]))</f>
        <v>GUÉNAËL  DEVILLET</v>
      </c>
      <c r="N66">
        <f t="shared" ref="N66:N97" si="2">COUNTIFS(K:K,K66)</f>
        <v>1</v>
      </c>
    </row>
    <row r="67" spans="1:14" x14ac:dyDescent="0.2">
      <c r="A67" s="4">
        <v>45691.509785092596</v>
      </c>
      <c r="B67" s="5" t="s">
        <v>264</v>
      </c>
      <c r="C67" s="5" t="s">
        <v>265</v>
      </c>
      <c r="D67" s="5" t="s">
        <v>266</v>
      </c>
      <c r="E67" s="6">
        <v>24403</v>
      </c>
      <c r="F67" s="5" t="s">
        <v>12</v>
      </c>
      <c r="G67" s="7" t="s">
        <v>267</v>
      </c>
      <c r="H67" s="5" t="s">
        <v>186</v>
      </c>
      <c r="J67" t="str" cm="1">
        <f t="array" ref="J67">IF(ISNA(MATCH(L67,$K$1:K66+K68:K214,0)),"Unique","Duplicate")</f>
        <v>Unique</v>
      </c>
      <c r="K67" t="str">
        <f>UPPER(_xlfn.CONCAT(Form_Responses1[[#This Row],[Prénom]], " ", Form_Responses1[[#This Row],[Nom]]))</f>
        <v xml:space="preserve">MOLITOR  NATHALIE </v>
      </c>
      <c r="L67" t="str">
        <f>UPPER(_xlfn.CONCAT(Form_Responses1[[#This Row],[Prénom]], " ", Form_Responses1[[#This Row],[Nom]]))</f>
        <v xml:space="preserve">MOLITOR  NATHALIE </v>
      </c>
      <c r="N67">
        <f t="shared" si="2"/>
        <v>1</v>
      </c>
    </row>
    <row r="68" spans="1:14" x14ac:dyDescent="0.2">
      <c r="A68" s="9">
        <v>45691.568443564815</v>
      </c>
      <c r="B68" s="10" t="s">
        <v>268</v>
      </c>
      <c r="C68" s="10" t="s">
        <v>269</v>
      </c>
      <c r="D68" s="10" t="s">
        <v>270</v>
      </c>
      <c r="E68" s="11">
        <v>29797</v>
      </c>
      <c r="F68" s="10" t="s">
        <v>12</v>
      </c>
      <c r="J68" t="str" cm="1">
        <f t="array" ref="J68">IF(ISNA(MATCH(L68,$K$1:K67+K69:K215,0)),"Unique","Duplicate")</f>
        <v>Unique</v>
      </c>
      <c r="K68" t="str">
        <f>UPPER(_xlfn.CONCAT(Form_Responses1[[#This Row],[Prénom]], " ", Form_Responses1[[#This Row],[Nom]]))</f>
        <v>FRÉDÉRIQUE DELMOTTE</v>
      </c>
      <c r="L68" t="str">
        <f>UPPER(_xlfn.CONCAT(Form_Responses1[[#This Row],[Prénom]], " ", Form_Responses1[[#This Row],[Nom]]))</f>
        <v>FRÉDÉRIQUE DELMOTTE</v>
      </c>
      <c r="N68">
        <f t="shared" si="2"/>
        <v>1</v>
      </c>
    </row>
    <row r="69" spans="1:14" x14ac:dyDescent="0.2">
      <c r="A69" s="4">
        <v>45691.598184884264</v>
      </c>
      <c r="B69" s="5" t="s">
        <v>271</v>
      </c>
      <c r="C69" s="5" t="s">
        <v>272</v>
      </c>
      <c r="D69" s="5" t="s">
        <v>273</v>
      </c>
      <c r="E69" s="6">
        <v>28797</v>
      </c>
      <c r="F69" s="5" t="s">
        <v>12</v>
      </c>
      <c r="G69" s="7" t="s">
        <v>274</v>
      </c>
      <c r="H69" s="5" t="s">
        <v>30</v>
      </c>
      <c r="J69" t="str" cm="1">
        <f t="array" ref="J69">IF(ISNA(MATCH(L69,$K$1:K68+K70:K216,0)),"Unique","Duplicate")</f>
        <v>Unique</v>
      </c>
      <c r="K69" t="str">
        <f>UPPER(_xlfn.CONCAT(Form_Responses1[[#This Row],[Prénom]], " ", Form_Responses1[[#This Row],[Nom]]))</f>
        <v>OLIVIER COPPENOLLE</v>
      </c>
      <c r="L69" t="str">
        <f>UPPER(_xlfn.CONCAT(Form_Responses1[[#This Row],[Prénom]], " ", Form_Responses1[[#This Row],[Nom]]))</f>
        <v>OLIVIER COPPENOLLE</v>
      </c>
      <c r="N69">
        <f t="shared" si="2"/>
        <v>1</v>
      </c>
    </row>
    <row r="70" spans="1:14" x14ac:dyDescent="0.2">
      <c r="A70" s="9">
        <v>45691.633072326389</v>
      </c>
      <c r="B70" s="10" t="s">
        <v>111</v>
      </c>
      <c r="C70" s="10" t="s">
        <v>275</v>
      </c>
      <c r="D70" s="10" t="s">
        <v>276</v>
      </c>
      <c r="E70" s="11">
        <v>21727</v>
      </c>
      <c r="F70" s="10" t="s">
        <v>12</v>
      </c>
      <c r="G70" s="12" t="s">
        <v>277</v>
      </c>
      <c r="H70" s="10" t="s">
        <v>14</v>
      </c>
      <c r="J70" t="str" cm="1">
        <f t="array" ref="J70">IF(ISNA(MATCH(L70,$K$1:K69+K71:K217,0)),"Unique","Duplicate")</f>
        <v>Unique</v>
      </c>
      <c r="K70" t="str">
        <f>UPPER(_xlfn.CONCAT(Form_Responses1[[#This Row],[Prénom]], " ", Form_Responses1[[#This Row],[Nom]]))</f>
        <v xml:space="preserve">ANTONIO  RAPAGNA </v>
      </c>
      <c r="L70" t="str">
        <f>UPPER(_xlfn.CONCAT(Form_Responses1[[#This Row],[Prénom]], " ", Form_Responses1[[#This Row],[Nom]]))</f>
        <v xml:space="preserve">ANTONIO  RAPAGNA </v>
      </c>
      <c r="N70">
        <f t="shared" si="2"/>
        <v>1</v>
      </c>
    </row>
    <row r="71" spans="1:14" x14ac:dyDescent="0.2">
      <c r="A71" s="4">
        <v>45691.639044594907</v>
      </c>
      <c r="B71" s="5" t="s">
        <v>148</v>
      </c>
      <c r="C71" s="5" t="s">
        <v>278</v>
      </c>
      <c r="D71" s="5" t="s">
        <v>279</v>
      </c>
      <c r="E71" s="6">
        <v>29325</v>
      </c>
      <c r="F71" s="5" t="s">
        <v>12</v>
      </c>
      <c r="G71" s="5" t="s">
        <v>280</v>
      </c>
      <c r="H71" s="5" t="s">
        <v>281</v>
      </c>
      <c r="J71" t="str" cm="1">
        <f t="array" ref="J71">IF(ISNA(MATCH(L71,$K$1:K70+K72:K218,0)),"Unique","Duplicate")</f>
        <v>Unique</v>
      </c>
      <c r="K71" t="str">
        <f>UPPER(_xlfn.CONCAT(Form_Responses1[[#This Row],[Prénom]], " ", Form_Responses1[[#This Row],[Nom]]))</f>
        <v>LAURENT  MAES</v>
      </c>
      <c r="L71" t="str">
        <f>UPPER(_xlfn.CONCAT(Form_Responses1[[#This Row],[Prénom]], " ", Form_Responses1[[#This Row],[Nom]]))</f>
        <v>LAURENT  MAES</v>
      </c>
      <c r="N71">
        <f t="shared" si="2"/>
        <v>1</v>
      </c>
    </row>
    <row r="72" spans="1:14" x14ac:dyDescent="0.2">
      <c r="A72" s="9">
        <v>45691.699200740739</v>
      </c>
      <c r="B72" s="10" t="s">
        <v>282</v>
      </c>
      <c r="C72" s="10" t="s">
        <v>283</v>
      </c>
      <c r="D72" s="10" t="s">
        <v>284</v>
      </c>
      <c r="E72" s="11">
        <v>21849</v>
      </c>
      <c r="F72" s="10" t="s">
        <v>12</v>
      </c>
      <c r="G72" s="10" t="s">
        <v>285</v>
      </c>
      <c r="H72" s="10" t="s">
        <v>286</v>
      </c>
      <c r="J72" t="str" cm="1">
        <f t="array" ref="J72">IF(ISNA(MATCH(L72,$K$1:K71+K73:K219,0)),"Unique","Duplicate")</f>
        <v>Unique</v>
      </c>
      <c r="K72" t="str">
        <f>UPPER(_xlfn.CONCAT(Form_Responses1[[#This Row],[Prénom]], " ", Form_Responses1[[#This Row],[Nom]]))</f>
        <v>MARIE JEANNE DE BOURNONVILLE MASY</v>
      </c>
      <c r="L72" t="str">
        <f>UPPER(_xlfn.CONCAT(Form_Responses1[[#This Row],[Prénom]], " ", Form_Responses1[[#This Row],[Nom]]))</f>
        <v>MARIE JEANNE DE BOURNONVILLE MASY</v>
      </c>
      <c r="N72">
        <f t="shared" si="2"/>
        <v>1</v>
      </c>
    </row>
    <row r="73" spans="1:14" x14ac:dyDescent="0.2">
      <c r="A73" s="4">
        <v>45691.781913402781</v>
      </c>
      <c r="B73" s="5" t="s">
        <v>287</v>
      </c>
      <c r="C73" s="5" t="s">
        <v>288</v>
      </c>
      <c r="D73" s="5" t="s">
        <v>289</v>
      </c>
      <c r="E73" s="6">
        <v>40803</v>
      </c>
      <c r="F73" s="5" t="s">
        <v>12</v>
      </c>
      <c r="G73" s="7" t="s">
        <v>290</v>
      </c>
      <c r="H73" s="5" t="s">
        <v>14</v>
      </c>
      <c r="J73" t="str" cm="1">
        <f t="array" ref="J73">IF(ISNA(MATCH(L73,$K$1:K72+K74:K220,0)),"Unique","Duplicate")</f>
        <v>Unique</v>
      </c>
      <c r="K73" t="str">
        <f>UPPER(_xlfn.CONCAT(Form_Responses1[[#This Row],[Prénom]], " ", Form_Responses1[[#This Row],[Nom]]))</f>
        <v>LIAM  SCHUTZ</v>
      </c>
      <c r="L73" t="str">
        <f>UPPER(_xlfn.CONCAT(Form_Responses1[[#This Row],[Prénom]], " ", Form_Responses1[[#This Row],[Nom]]))</f>
        <v>LIAM  SCHUTZ</v>
      </c>
      <c r="N73">
        <f t="shared" si="2"/>
        <v>1</v>
      </c>
    </row>
    <row r="74" spans="1:14" x14ac:dyDescent="0.2">
      <c r="A74" s="9">
        <v>45691.83153998843</v>
      </c>
      <c r="B74" s="10" t="s">
        <v>291</v>
      </c>
      <c r="C74" s="10" t="s">
        <v>292</v>
      </c>
      <c r="D74" s="10" t="s">
        <v>293</v>
      </c>
      <c r="E74" s="11">
        <v>26592</v>
      </c>
      <c r="F74" s="10" t="s">
        <v>12</v>
      </c>
      <c r="G74" s="10" t="s">
        <v>294</v>
      </c>
      <c r="H74" s="10" t="s">
        <v>14</v>
      </c>
      <c r="J74" t="str" cm="1">
        <f t="array" ref="J74">IF(ISNA(MATCH(L74,$K$1:K73+K75:K221,0)),"Unique","Duplicate")</f>
        <v>Unique</v>
      </c>
      <c r="K74" t="str">
        <f>UPPER(_xlfn.CONCAT(Form_Responses1[[#This Row],[Prénom]], " ", Form_Responses1[[#This Row],[Nom]]))</f>
        <v xml:space="preserve">VÉRONIQUE  DOCQUIER </v>
      </c>
      <c r="L74" t="str">
        <f>UPPER(_xlfn.CONCAT(Form_Responses1[[#This Row],[Prénom]], " ", Form_Responses1[[#This Row],[Nom]]))</f>
        <v xml:space="preserve">VÉRONIQUE  DOCQUIER </v>
      </c>
      <c r="N74">
        <f t="shared" si="2"/>
        <v>1</v>
      </c>
    </row>
    <row r="75" spans="1:14" x14ac:dyDescent="0.2">
      <c r="A75" s="4">
        <v>45691.832726793982</v>
      </c>
      <c r="B75" s="5" t="s">
        <v>295</v>
      </c>
      <c r="C75" s="5" t="s">
        <v>296</v>
      </c>
      <c r="D75" s="5" t="s">
        <v>297</v>
      </c>
      <c r="E75" s="6">
        <v>20229</v>
      </c>
      <c r="F75" s="5" t="s">
        <v>12</v>
      </c>
      <c r="G75" s="7" t="s">
        <v>298</v>
      </c>
      <c r="H75" s="5" t="s">
        <v>68</v>
      </c>
      <c r="J75" t="str" cm="1">
        <f t="array" ref="J75">IF(ISNA(MATCH(L75,$K$1:K74+K76:K222,0)),"Unique","Duplicate")</f>
        <v>Unique</v>
      </c>
      <c r="K75" t="str">
        <f>UPPER(_xlfn.CONCAT(Form_Responses1[[#This Row],[Prénom]], " ", Form_Responses1[[#This Row],[Nom]]))</f>
        <v>VICTOR LEON</v>
      </c>
      <c r="L75" t="str">
        <f>UPPER(_xlfn.CONCAT(Form_Responses1[[#This Row],[Prénom]], " ", Form_Responses1[[#This Row],[Nom]]))</f>
        <v>VICTOR LEON</v>
      </c>
      <c r="N75">
        <f t="shared" si="2"/>
        <v>1</v>
      </c>
    </row>
    <row r="76" spans="1:14" x14ac:dyDescent="0.2">
      <c r="A76" s="9">
        <v>45691.851807581013</v>
      </c>
      <c r="B76" s="10" t="s">
        <v>299</v>
      </c>
      <c r="C76" s="10" t="s">
        <v>300</v>
      </c>
      <c r="D76" s="10" t="s">
        <v>301</v>
      </c>
      <c r="E76" s="11">
        <v>30589</v>
      </c>
      <c r="F76" s="10" t="s">
        <v>12</v>
      </c>
      <c r="G76" s="12" t="s">
        <v>302</v>
      </c>
      <c r="H76" s="10" t="s">
        <v>14</v>
      </c>
      <c r="J76" t="str" cm="1">
        <f t="array" ref="J76">IF(ISNA(MATCH(L76,$K$1:K75+K77:K223,0)),"Unique","Duplicate")</f>
        <v>Unique</v>
      </c>
      <c r="K76" t="str">
        <f>UPPER(_xlfn.CONCAT(Form_Responses1[[#This Row],[Prénom]], " ", Form_Responses1[[#This Row],[Nom]]))</f>
        <v>NICOLAS DE VOS</v>
      </c>
      <c r="L76" t="str">
        <f>UPPER(_xlfn.CONCAT(Form_Responses1[[#This Row],[Prénom]], " ", Form_Responses1[[#This Row],[Nom]]))</f>
        <v>NICOLAS DE VOS</v>
      </c>
      <c r="N76">
        <f t="shared" si="2"/>
        <v>1</v>
      </c>
    </row>
    <row r="77" spans="1:14" x14ac:dyDescent="0.2">
      <c r="A77" s="4">
        <v>45691.896085462962</v>
      </c>
      <c r="B77" s="5" t="s">
        <v>303</v>
      </c>
      <c r="C77" s="5" t="s">
        <v>304</v>
      </c>
      <c r="D77" s="5" t="s">
        <v>305</v>
      </c>
      <c r="E77" s="6">
        <v>31213</v>
      </c>
      <c r="F77" s="5" t="s">
        <v>12</v>
      </c>
      <c r="G77" s="7" t="s">
        <v>306</v>
      </c>
      <c r="H77" s="5" t="s">
        <v>14</v>
      </c>
      <c r="J77" t="str" cm="1">
        <f t="array" ref="J77">IF(ISNA(MATCH(L77,$K$1:K76+K78:K224,0)),"Unique","Duplicate")</f>
        <v>Unique</v>
      </c>
      <c r="K77" t="str">
        <f>UPPER(_xlfn.CONCAT(Form_Responses1[[#This Row],[Prénom]], " ", Form_Responses1[[#This Row],[Nom]]))</f>
        <v xml:space="preserve">JULIEN  BAYONNET </v>
      </c>
      <c r="L77" t="str">
        <f>UPPER(_xlfn.CONCAT(Form_Responses1[[#This Row],[Prénom]], " ", Form_Responses1[[#This Row],[Nom]]))</f>
        <v xml:space="preserve">JULIEN  BAYONNET </v>
      </c>
      <c r="N77">
        <f t="shared" si="2"/>
        <v>1</v>
      </c>
    </row>
    <row r="78" spans="1:14" x14ac:dyDescent="0.2">
      <c r="A78" s="9">
        <v>45691.902393495373</v>
      </c>
      <c r="B78" s="10" t="s">
        <v>307</v>
      </c>
      <c r="C78" s="10" t="s">
        <v>308</v>
      </c>
      <c r="D78" s="10" t="s">
        <v>309</v>
      </c>
      <c r="E78" s="11">
        <v>29286</v>
      </c>
      <c r="F78" s="10" t="s">
        <v>12</v>
      </c>
      <c r="H78" s="10" t="s">
        <v>310</v>
      </c>
      <c r="J78" t="str" cm="1">
        <f t="array" ref="J78">IF(ISNA(MATCH(L78,$K$1:K77+K79:K225,0)),"Unique","Duplicate")</f>
        <v>Unique</v>
      </c>
      <c r="K78" t="str">
        <f>UPPER(_xlfn.CONCAT(Form_Responses1[[#This Row],[Prénom]], " ", Form_Responses1[[#This Row],[Nom]]))</f>
        <v>XAVIER MAGONETTE</v>
      </c>
      <c r="L78" t="str">
        <f>UPPER(_xlfn.CONCAT(Form_Responses1[[#This Row],[Prénom]], " ", Form_Responses1[[#This Row],[Nom]]))</f>
        <v>XAVIER MAGONETTE</v>
      </c>
      <c r="N78">
        <f t="shared" si="2"/>
        <v>1</v>
      </c>
    </row>
    <row r="79" spans="1:14" x14ac:dyDescent="0.2">
      <c r="A79" s="4">
        <v>45691.910090682868</v>
      </c>
      <c r="B79" s="5" t="s">
        <v>311</v>
      </c>
      <c r="C79" s="5" t="s">
        <v>312</v>
      </c>
      <c r="D79" s="5" t="s">
        <v>313</v>
      </c>
      <c r="E79" s="6">
        <v>30811</v>
      </c>
      <c r="F79" s="5" t="s">
        <v>12</v>
      </c>
      <c r="G79" s="7" t="s">
        <v>314</v>
      </c>
      <c r="H79" s="5" t="s">
        <v>315</v>
      </c>
      <c r="J79" t="str" cm="1">
        <f t="array" ref="J79">IF(ISNA(MATCH(L79,$K$1:K78+K80:K226,0)),"Unique","Duplicate")</f>
        <v>Unique</v>
      </c>
      <c r="K79" t="str">
        <f>UPPER(_xlfn.CONCAT(Form_Responses1[[#This Row],[Prénom]], " ", Form_Responses1[[#This Row],[Nom]]))</f>
        <v>FLORENCE SOMJA</v>
      </c>
      <c r="L79" t="str">
        <f>UPPER(_xlfn.CONCAT(Form_Responses1[[#This Row],[Prénom]], " ", Form_Responses1[[#This Row],[Nom]]))</f>
        <v>FLORENCE SOMJA</v>
      </c>
      <c r="N79">
        <f t="shared" si="2"/>
        <v>1</v>
      </c>
    </row>
    <row r="80" spans="1:14" x14ac:dyDescent="0.2">
      <c r="A80" s="9">
        <v>45691.912215543984</v>
      </c>
      <c r="B80" s="10" t="s">
        <v>316</v>
      </c>
      <c r="C80" s="10" t="s">
        <v>317</v>
      </c>
      <c r="D80" s="10" t="s">
        <v>318</v>
      </c>
      <c r="E80" s="11">
        <v>24255</v>
      </c>
      <c r="F80" s="10" t="s">
        <v>12</v>
      </c>
      <c r="G80" s="12" t="s">
        <v>319</v>
      </c>
      <c r="H80" s="10" t="s">
        <v>320</v>
      </c>
      <c r="J80" t="str" cm="1">
        <f t="array" ref="J80">IF(ISNA(MATCH(L80,$K$1:K79+K81:K227,0)),"Unique","Duplicate")</f>
        <v>Unique</v>
      </c>
      <c r="K80" t="str">
        <f>UPPER(_xlfn.CONCAT(Form_Responses1[[#This Row],[Prénom]], " ", Form_Responses1[[#This Row],[Nom]]))</f>
        <v>HUGUES BOTQUIN</v>
      </c>
      <c r="L80" t="str">
        <f>UPPER(_xlfn.CONCAT(Form_Responses1[[#This Row],[Prénom]], " ", Form_Responses1[[#This Row],[Nom]]))</f>
        <v>HUGUES BOTQUIN</v>
      </c>
      <c r="N80">
        <f t="shared" si="2"/>
        <v>1</v>
      </c>
    </row>
    <row r="81" spans="1:14" x14ac:dyDescent="0.2">
      <c r="A81" s="4">
        <v>45691.913025416667</v>
      </c>
      <c r="B81" s="5" t="s">
        <v>321</v>
      </c>
      <c r="C81" s="5" t="s">
        <v>322</v>
      </c>
      <c r="D81" s="5" t="s">
        <v>323</v>
      </c>
      <c r="E81" s="6">
        <v>45671</v>
      </c>
      <c r="F81" s="5" t="s">
        <v>12</v>
      </c>
      <c r="H81" s="5" t="s">
        <v>14</v>
      </c>
      <c r="J81" t="str" cm="1">
        <f t="array" ref="J81">IF(ISNA(MATCH(L81,$K$1:K80+K82:K228,0)),"Unique","Duplicate")</f>
        <v>Unique</v>
      </c>
      <c r="K81" t="str">
        <f>UPPER(_xlfn.CONCAT(Form_Responses1[[#This Row],[Prénom]], " ", Form_Responses1[[#This Row],[Nom]]))</f>
        <v xml:space="preserve">CHRISTELLE  BAILLY </v>
      </c>
      <c r="L81" t="str">
        <f>UPPER(_xlfn.CONCAT(Form_Responses1[[#This Row],[Prénom]], " ", Form_Responses1[[#This Row],[Nom]]))</f>
        <v xml:space="preserve">CHRISTELLE  BAILLY </v>
      </c>
      <c r="N81">
        <f t="shared" si="2"/>
        <v>1</v>
      </c>
    </row>
    <row r="82" spans="1:14" x14ac:dyDescent="0.2">
      <c r="A82" s="9">
        <v>45691.914508576388</v>
      </c>
      <c r="B82" s="10" t="s">
        <v>324</v>
      </c>
      <c r="C82" s="10" t="s">
        <v>325</v>
      </c>
      <c r="D82" s="10" t="s">
        <v>326</v>
      </c>
      <c r="E82" s="11">
        <v>24559</v>
      </c>
      <c r="F82" s="10" t="s">
        <v>12</v>
      </c>
      <c r="G82" s="12" t="s">
        <v>327</v>
      </c>
      <c r="H82" s="10" t="s">
        <v>14</v>
      </c>
      <c r="J82" t="str" cm="1">
        <f t="array" ref="J82">IF(ISNA(MATCH(L82,$K$1:K81+K83:K229,0)),"Unique","Duplicate")</f>
        <v>Unique</v>
      </c>
      <c r="K82" t="str">
        <f>UPPER(_xlfn.CONCAT(Form_Responses1[[#This Row],[Prénom]], " ", Form_Responses1[[#This Row],[Nom]]))</f>
        <v>PASCAL LAMBOTTE</v>
      </c>
      <c r="L82" t="str">
        <f>UPPER(_xlfn.CONCAT(Form_Responses1[[#This Row],[Prénom]], " ", Form_Responses1[[#This Row],[Nom]]))</f>
        <v>PASCAL LAMBOTTE</v>
      </c>
      <c r="N82">
        <f t="shared" si="2"/>
        <v>1</v>
      </c>
    </row>
    <row r="83" spans="1:14" x14ac:dyDescent="0.2">
      <c r="A83" s="4">
        <v>45691.96509622685</v>
      </c>
      <c r="B83" s="5" t="s">
        <v>328</v>
      </c>
      <c r="C83" s="5" t="s">
        <v>329</v>
      </c>
      <c r="D83" s="5" t="s">
        <v>330</v>
      </c>
      <c r="E83" s="6">
        <v>25038</v>
      </c>
      <c r="F83" s="5" t="s">
        <v>12</v>
      </c>
      <c r="G83" s="7" t="s">
        <v>331</v>
      </c>
      <c r="H83" s="5" t="s">
        <v>14</v>
      </c>
      <c r="J83" t="str" cm="1">
        <f t="array" ref="J83">IF(ISNA(MATCH(L83,$K$1:K82+K84:K230,0)),"Unique","Duplicate")</f>
        <v>Unique</v>
      </c>
      <c r="K83" t="str">
        <f>UPPER(_xlfn.CONCAT(Form_Responses1[[#This Row],[Prénom]], " ", Form_Responses1[[#This Row],[Nom]]))</f>
        <v>JEAN-MARIE GHEURY</v>
      </c>
      <c r="L83" t="str">
        <f>UPPER(_xlfn.CONCAT(Form_Responses1[[#This Row],[Prénom]], " ", Form_Responses1[[#This Row],[Nom]]))</f>
        <v>JEAN-MARIE GHEURY</v>
      </c>
      <c r="N83">
        <f t="shared" si="2"/>
        <v>1</v>
      </c>
    </row>
    <row r="84" spans="1:14" x14ac:dyDescent="0.2">
      <c r="A84" s="9">
        <v>45691.967509664348</v>
      </c>
      <c r="B84" s="10" t="s">
        <v>26</v>
      </c>
      <c r="C84" s="10" t="s">
        <v>332</v>
      </c>
      <c r="D84" s="10" t="s">
        <v>333</v>
      </c>
      <c r="E84" s="11">
        <v>24412</v>
      </c>
      <c r="F84" s="10" t="s">
        <v>12</v>
      </c>
      <c r="G84" s="12" t="s">
        <v>334</v>
      </c>
      <c r="H84" s="10" t="s">
        <v>30</v>
      </c>
      <c r="J84" t="str" cm="1">
        <f t="array" ref="J84">IF(ISNA(MATCH(L84,$K$1:K83+K85:K231,0)),"Unique","Duplicate")</f>
        <v>Unique</v>
      </c>
      <c r="K84" t="str">
        <f>UPPER(_xlfn.CONCAT(Form_Responses1[[#This Row],[Prénom]], " ", Form_Responses1[[#This Row],[Nom]]))</f>
        <v>DANIEL  DEJONG</v>
      </c>
      <c r="L84" t="str">
        <f>UPPER(_xlfn.CONCAT(Form_Responses1[[#This Row],[Prénom]], " ", Form_Responses1[[#This Row],[Nom]]))</f>
        <v>DANIEL  DEJONG</v>
      </c>
      <c r="N84">
        <f t="shared" si="2"/>
        <v>1</v>
      </c>
    </row>
    <row r="85" spans="1:14" x14ac:dyDescent="0.2">
      <c r="A85" s="4">
        <v>45692.281778530094</v>
      </c>
      <c r="B85" s="5" t="s">
        <v>335</v>
      </c>
      <c r="C85" s="5" t="s">
        <v>336</v>
      </c>
      <c r="D85" s="5" t="s">
        <v>337</v>
      </c>
      <c r="E85" s="6">
        <v>26113</v>
      </c>
      <c r="F85" s="5" t="s">
        <v>12</v>
      </c>
      <c r="G85" s="7" t="s">
        <v>338</v>
      </c>
      <c r="H85" s="5" t="s">
        <v>14</v>
      </c>
      <c r="J85" t="str" cm="1">
        <f t="array" ref="J85">IF(ISNA(MATCH(L85,$K$1:K84+K86:K232,0)),"Unique","Duplicate")</f>
        <v>Unique</v>
      </c>
      <c r="K85" t="str">
        <f>UPPER(_xlfn.CONCAT(Form_Responses1[[#This Row],[Prénom]], " ", Form_Responses1[[#This Row],[Nom]]))</f>
        <v>ROSARIO SCIFO</v>
      </c>
      <c r="L85" t="str">
        <f>UPPER(_xlfn.CONCAT(Form_Responses1[[#This Row],[Prénom]], " ", Form_Responses1[[#This Row],[Nom]]))</f>
        <v>ROSARIO SCIFO</v>
      </c>
      <c r="N85">
        <f t="shared" si="2"/>
        <v>1</v>
      </c>
    </row>
    <row r="86" spans="1:14" x14ac:dyDescent="0.2">
      <c r="A86" s="9">
        <v>45692.308347812505</v>
      </c>
      <c r="B86" s="10" t="s">
        <v>271</v>
      </c>
      <c r="C86" s="10" t="s">
        <v>339</v>
      </c>
      <c r="D86" s="10" t="s">
        <v>340</v>
      </c>
      <c r="E86" s="11">
        <v>25607</v>
      </c>
      <c r="F86" s="10" t="s">
        <v>12</v>
      </c>
      <c r="G86" s="10" t="s">
        <v>341</v>
      </c>
      <c r="H86" s="10" t="s">
        <v>30</v>
      </c>
      <c r="J86" t="str" cm="1">
        <f t="array" ref="J86">IF(ISNA(MATCH(L86,$K$1:K85+K87:K233,0)),"Unique","Duplicate")</f>
        <v>Unique</v>
      </c>
      <c r="K86" t="str">
        <f>UPPER(_xlfn.CONCAT(Form_Responses1[[#This Row],[Prénom]], " ", Form_Responses1[[#This Row],[Nom]]))</f>
        <v>OLIVIER HEMMER</v>
      </c>
      <c r="L86" t="str">
        <f>UPPER(_xlfn.CONCAT(Form_Responses1[[#This Row],[Prénom]], " ", Form_Responses1[[#This Row],[Nom]]))</f>
        <v>OLIVIER HEMMER</v>
      </c>
      <c r="N86">
        <f t="shared" si="2"/>
        <v>1</v>
      </c>
    </row>
    <row r="87" spans="1:14" x14ac:dyDescent="0.2">
      <c r="A87" s="4">
        <v>45692.34827725694</v>
      </c>
      <c r="B87" s="5" t="s">
        <v>342</v>
      </c>
      <c r="C87" s="5" t="s">
        <v>343</v>
      </c>
      <c r="D87" s="5" t="s">
        <v>344</v>
      </c>
      <c r="E87" s="6">
        <v>26219</v>
      </c>
      <c r="F87" s="5" t="s">
        <v>12</v>
      </c>
      <c r="G87" s="7" t="s">
        <v>345</v>
      </c>
      <c r="H87" s="5" t="s">
        <v>14</v>
      </c>
      <c r="J87" t="str" cm="1">
        <f t="array" ref="J87">IF(ISNA(MATCH(L87,$K$1:K86+K88:K234,0)),"Unique","Duplicate")</f>
        <v>Unique</v>
      </c>
      <c r="K87" t="str">
        <f>UPPER(_xlfn.CONCAT(Form_Responses1[[#This Row],[Prénom]], " ", Form_Responses1[[#This Row],[Nom]]))</f>
        <v>FRANCOISE PISCART</v>
      </c>
      <c r="L87" t="str">
        <f>UPPER(_xlfn.CONCAT(Form_Responses1[[#This Row],[Prénom]], " ", Form_Responses1[[#This Row],[Nom]]))</f>
        <v>FRANCOISE PISCART</v>
      </c>
      <c r="N87">
        <f t="shared" si="2"/>
        <v>1</v>
      </c>
    </row>
    <row r="88" spans="1:14" x14ac:dyDescent="0.2">
      <c r="A88" s="9">
        <v>45692.466434594906</v>
      </c>
      <c r="B88" s="10" t="s">
        <v>346</v>
      </c>
      <c r="C88" s="10" t="s">
        <v>347</v>
      </c>
      <c r="D88" s="10" t="s">
        <v>348</v>
      </c>
      <c r="E88" s="11">
        <v>30210</v>
      </c>
      <c r="F88" s="10" t="s">
        <v>12</v>
      </c>
      <c r="G88" s="10" t="s">
        <v>349</v>
      </c>
      <c r="H88" s="10" t="s">
        <v>102</v>
      </c>
      <c r="J88" t="str" cm="1">
        <f t="array" ref="J88">IF(ISNA(MATCH(L88,$K$1:K87+K89:K235,0)),"Unique","Duplicate")</f>
        <v>Unique</v>
      </c>
      <c r="K88" t="str">
        <f>UPPER(_xlfn.CONCAT(Form_Responses1[[#This Row],[Prénom]], " ", Form_Responses1[[#This Row],[Nom]]))</f>
        <v xml:space="preserve">DIDIER  ROCKS </v>
      </c>
      <c r="L88" t="str">
        <f>UPPER(_xlfn.CONCAT(Form_Responses1[[#This Row],[Prénom]], " ", Form_Responses1[[#This Row],[Nom]]))</f>
        <v xml:space="preserve">DIDIER  ROCKS </v>
      </c>
      <c r="N88">
        <f t="shared" si="2"/>
        <v>1</v>
      </c>
    </row>
    <row r="89" spans="1:14" x14ac:dyDescent="0.2">
      <c r="A89" s="4">
        <v>45692.472074953708</v>
      </c>
      <c r="B89" s="5" t="s">
        <v>350</v>
      </c>
      <c r="C89" s="5" t="s">
        <v>351</v>
      </c>
      <c r="D89" s="5" t="s">
        <v>253</v>
      </c>
      <c r="E89" s="6">
        <v>25915</v>
      </c>
      <c r="F89" s="5" t="s">
        <v>12</v>
      </c>
      <c r="G89" s="7" t="s">
        <v>352</v>
      </c>
      <c r="H89" s="5" t="s">
        <v>14</v>
      </c>
      <c r="J89" t="str" cm="1">
        <f t="array" ref="J89">IF(ISNA(MATCH(L89,$K$1:K88+K90:K236,0)),"Unique","Duplicate")</f>
        <v>Unique</v>
      </c>
      <c r="K89" t="str">
        <f>UPPER(_xlfn.CONCAT(Form_Responses1[[#This Row],[Prénom]], " ", Form_Responses1[[#This Row],[Nom]]))</f>
        <v xml:space="preserve">VAN DEN BLINK  ERIC </v>
      </c>
      <c r="L89" t="str">
        <f>UPPER(_xlfn.CONCAT(Form_Responses1[[#This Row],[Prénom]], " ", Form_Responses1[[#This Row],[Nom]]))</f>
        <v xml:space="preserve">VAN DEN BLINK  ERIC </v>
      </c>
      <c r="N89">
        <f t="shared" si="2"/>
        <v>1</v>
      </c>
    </row>
    <row r="90" spans="1:14" x14ac:dyDescent="0.2">
      <c r="A90" s="9">
        <v>45692.49840517361</v>
      </c>
      <c r="B90" s="10" t="s">
        <v>353</v>
      </c>
      <c r="C90" s="10" t="s">
        <v>354</v>
      </c>
      <c r="D90" s="10" t="s">
        <v>355</v>
      </c>
      <c r="E90" s="11">
        <v>22253</v>
      </c>
      <c r="F90" s="10" t="s">
        <v>12</v>
      </c>
      <c r="G90" s="12" t="s">
        <v>356</v>
      </c>
      <c r="H90" s="10" t="s">
        <v>357</v>
      </c>
      <c r="J90" t="str" cm="1">
        <f t="array" ref="J90">IF(ISNA(MATCH(L90,$K$1:K89+K91:K237,0)),"Unique","Duplicate")</f>
        <v>Unique</v>
      </c>
      <c r="K90" t="str">
        <f>UPPER(_xlfn.CONCAT(Form_Responses1[[#This Row],[Prénom]], " ", Form_Responses1[[#This Row],[Nom]]))</f>
        <v>MARIE-FRANCE  LISSOIR</v>
      </c>
      <c r="L90" t="str">
        <f>UPPER(_xlfn.CONCAT(Form_Responses1[[#This Row],[Prénom]], " ", Form_Responses1[[#This Row],[Nom]]))</f>
        <v>MARIE-FRANCE  LISSOIR</v>
      </c>
      <c r="N90">
        <f t="shared" si="2"/>
        <v>1</v>
      </c>
    </row>
    <row r="91" spans="1:14" x14ac:dyDescent="0.2">
      <c r="A91" s="4">
        <v>45692.516931307866</v>
      </c>
      <c r="B91" s="5" t="s">
        <v>358</v>
      </c>
      <c r="C91" s="5" t="s">
        <v>359</v>
      </c>
      <c r="D91" s="5" t="s">
        <v>83</v>
      </c>
      <c r="E91" s="6">
        <v>23276</v>
      </c>
      <c r="F91" s="5" t="s">
        <v>12</v>
      </c>
      <c r="G91" s="5">
        <v>495774033</v>
      </c>
      <c r="H91" s="5" t="s">
        <v>14</v>
      </c>
      <c r="J91" t="str" cm="1">
        <f t="array" ref="J91">IF(ISNA(MATCH(L91,$K$1:K90+K92:K238,0)),"Unique","Duplicate")</f>
        <v>Unique</v>
      </c>
      <c r="K91" t="str">
        <f>UPPER(_xlfn.CONCAT(Form_Responses1[[#This Row],[Prénom]], " ", Form_Responses1[[#This Row],[Nom]]))</f>
        <v xml:space="preserve">NASSER ESSABRI </v>
      </c>
      <c r="L91" t="str">
        <f>UPPER(_xlfn.CONCAT(Form_Responses1[[#This Row],[Prénom]], " ", Form_Responses1[[#This Row],[Nom]]))</f>
        <v xml:space="preserve">NASSER ESSABRI </v>
      </c>
      <c r="N91">
        <f t="shared" si="2"/>
        <v>1</v>
      </c>
    </row>
    <row r="92" spans="1:14" x14ac:dyDescent="0.2">
      <c r="A92" s="9">
        <v>45692.521951655093</v>
      </c>
      <c r="B92" s="10" t="s">
        <v>360</v>
      </c>
      <c r="C92" s="10" t="s">
        <v>361</v>
      </c>
      <c r="D92" s="10" t="s">
        <v>362</v>
      </c>
      <c r="E92" s="11">
        <v>28184</v>
      </c>
      <c r="F92" s="10" t="s">
        <v>12</v>
      </c>
      <c r="G92" s="10" t="s">
        <v>363</v>
      </c>
      <c r="H92" s="10" t="s">
        <v>14</v>
      </c>
      <c r="J92" t="str" cm="1">
        <f t="array" ref="J92">IF(ISNA(MATCH(L92,$K$1:K91+K93:K239,0)),"Unique","Duplicate")</f>
        <v>Unique</v>
      </c>
      <c r="K92" t="str">
        <f>UPPER(_xlfn.CONCAT(Form_Responses1[[#This Row],[Prénom]], " ", Form_Responses1[[#This Row],[Nom]]))</f>
        <v>CÉLINE LÉGA</v>
      </c>
      <c r="L92" t="str">
        <f>UPPER(_xlfn.CONCAT(Form_Responses1[[#This Row],[Prénom]], " ", Form_Responses1[[#This Row],[Nom]]))</f>
        <v>CÉLINE LÉGA</v>
      </c>
      <c r="N92">
        <f t="shared" si="2"/>
        <v>1</v>
      </c>
    </row>
    <row r="93" spans="1:14" x14ac:dyDescent="0.2">
      <c r="A93" s="4">
        <v>45692.592230266207</v>
      </c>
      <c r="B93" s="5" t="s">
        <v>364</v>
      </c>
      <c r="C93" s="5" t="s">
        <v>365</v>
      </c>
      <c r="D93" s="5" t="s">
        <v>366</v>
      </c>
      <c r="E93" s="6">
        <v>22171</v>
      </c>
      <c r="F93" s="5" t="s">
        <v>12</v>
      </c>
      <c r="G93" s="7" t="s">
        <v>367</v>
      </c>
      <c r="H93" s="5" t="s">
        <v>368</v>
      </c>
      <c r="J93" t="str" cm="1">
        <f t="array" ref="J93">IF(ISNA(MATCH(L93,$K$1:K92+K94:K240,0)),"Unique","Duplicate")</f>
        <v>Unique</v>
      </c>
      <c r="K93" t="str">
        <f>UPPER(_xlfn.CONCAT(Form_Responses1[[#This Row],[Prénom]], " ", Form_Responses1[[#This Row],[Nom]]))</f>
        <v>CLAUDE DELHEZ</v>
      </c>
      <c r="L93" t="str">
        <f>UPPER(_xlfn.CONCAT(Form_Responses1[[#This Row],[Prénom]], " ", Form_Responses1[[#This Row],[Nom]]))</f>
        <v>CLAUDE DELHEZ</v>
      </c>
      <c r="N93">
        <f t="shared" si="2"/>
        <v>1</v>
      </c>
    </row>
    <row r="94" spans="1:14" x14ac:dyDescent="0.2">
      <c r="A94" s="9">
        <v>45692.621816134255</v>
      </c>
      <c r="B94" s="10" t="s">
        <v>369</v>
      </c>
      <c r="C94" s="10" t="s">
        <v>370</v>
      </c>
      <c r="D94" s="10" t="s">
        <v>371</v>
      </c>
      <c r="E94" s="11">
        <v>32869</v>
      </c>
      <c r="F94" s="10" t="s">
        <v>12</v>
      </c>
      <c r="G94" s="10" t="s">
        <v>372</v>
      </c>
      <c r="H94" s="10" t="s">
        <v>286</v>
      </c>
      <c r="J94" t="str" cm="1">
        <f t="array" ref="J94">IF(ISNA(MATCH(L94,$K$1:K93+K95:K241,0)),"Unique","Duplicate")</f>
        <v>Unique</v>
      </c>
      <c r="K94" t="str">
        <f>UPPER(_xlfn.CONCAT(Form_Responses1[[#This Row],[Prénom]], " ", Form_Responses1[[#This Row],[Nom]]))</f>
        <v>BENJAMIN ROBERT</v>
      </c>
      <c r="L94" t="str">
        <f>UPPER(_xlfn.CONCAT(Form_Responses1[[#This Row],[Prénom]], " ", Form_Responses1[[#This Row],[Nom]]))</f>
        <v>BENJAMIN ROBERT</v>
      </c>
      <c r="N94">
        <f t="shared" si="2"/>
        <v>1</v>
      </c>
    </row>
    <row r="95" spans="1:14" x14ac:dyDescent="0.2">
      <c r="A95" s="4">
        <v>45692.645578101852</v>
      </c>
      <c r="B95" s="5" t="s">
        <v>373</v>
      </c>
      <c r="C95" s="5" t="s">
        <v>374</v>
      </c>
      <c r="D95" s="5" t="s">
        <v>375</v>
      </c>
      <c r="E95" s="6">
        <v>23215</v>
      </c>
      <c r="F95" s="5" t="s">
        <v>12</v>
      </c>
      <c r="G95" s="7" t="s">
        <v>376</v>
      </c>
      <c r="H95" s="5" t="s">
        <v>377</v>
      </c>
      <c r="J95" t="str" cm="1">
        <f t="array" ref="J95">IF(ISNA(MATCH(L95,$K$1:K94+K96:K242,0)),"Unique","Duplicate")</f>
        <v>Unique</v>
      </c>
      <c r="K95" t="str">
        <f>UPPER(_xlfn.CONCAT(Form_Responses1[[#This Row],[Prénom]], " ", Form_Responses1[[#This Row],[Nom]]))</f>
        <v xml:space="preserve">THÉO  MARIEN </v>
      </c>
      <c r="L95" t="str">
        <f>UPPER(_xlfn.CONCAT(Form_Responses1[[#This Row],[Prénom]], " ", Form_Responses1[[#This Row],[Nom]]))</f>
        <v xml:space="preserve">THÉO  MARIEN </v>
      </c>
      <c r="N95">
        <f t="shared" si="2"/>
        <v>1</v>
      </c>
    </row>
    <row r="96" spans="1:14" x14ac:dyDescent="0.2">
      <c r="A96" s="9">
        <v>45692.784268877316</v>
      </c>
      <c r="B96" s="10" t="s">
        <v>378</v>
      </c>
      <c r="C96" s="10" t="s">
        <v>379</v>
      </c>
      <c r="D96" s="10" t="s">
        <v>380</v>
      </c>
      <c r="E96" s="11">
        <v>29043</v>
      </c>
      <c r="F96" s="10" t="s">
        <v>12</v>
      </c>
      <c r="H96" s="10" t="s">
        <v>102</v>
      </c>
      <c r="J96" t="str" cm="1">
        <f t="array" ref="J96">IF(ISNA(MATCH(L96,$K$1:K95+K97:K243,0)),"Unique","Duplicate")</f>
        <v>Unique</v>
      </c>
      <c r="K96" t="str">
        <f>UPPER(_xlfn.CONCAT(Form_Responses1[[#This Row],[Prénom]], " ", Form_Responses1[[#This Row],[Nom]]))</f>
        <v xml:space="preserve">DJAMEL  BOUZIDI </v>
      </c>
      <c r="L96" t="str">
        <f>UPPER(_xlfn.CONCAT(Form_Responses1[[#This Row],[Prénom]], " ", Form_Responses1[[#This Row],[Nom]]))</f>
        <v xml:space="preserve">DJAMEL  BOUZIDI </v>
      </c>
      <c r="N96">
        <f t="shared" si="2"/>
        <v>1</v>
      </c>
    </row>
    <row r="97" spans="1:14" x14ac:dyDescent="0.2">
      <c r="A97" s="4">
        <v>45692.78560293981</v>
      </c>
      <c r="B97" s="5" t="s">
        <v>56</v>
      </c>
      <c r="C97" s="5" t="s">
        <v>381</v>
      </c>
      <c r="D97" s="5" t="s">
        <v>382</v>
      </c>
      <c r="E97" s="6">
        <v>22181</v>
      </c>
      <c r="F97" s="5" t="s">
        <v>12</v>
      </c>
      <c r="H97" s="5" t="s">
        <v>14</v>
      </c>
      <c r="J97" t="str" cm="1">
        <f t="array" ref="J97">IF(ISNA(MATCH(L97,$K$1:K96+K98:K244,0)),"Unique","Duplicate")</f>
        <v>Unique</v>
      </c>
      <c r="K97" t="str">
        <f>UPPER(_xlfn.CONCAT(Form_Responses1[[#This Row],[Prénom]], " ", Form_Responses1[[#This Row],[Nom]]))</f>
        <v xml:space="preserve">ROSARIO  MUNGIOVI </v>
      </c>
      <c r="L97" t="str">
        <f>UPPER(_xlfn.CONCAT(Form_Responses1[[#This Row],[Prénom]], " ", Form_Responses1[[#This Row],[Nom]]))</f>
        <v xml:space="preserve">ROSARIO  MUNGIOVI </v>
      </c>
      <c r="N97">
        <f t="shared" si="2"/>
        <v>1</v>
      </c>
    </row>
    <row r="98" spans="1:14" x14ac:dyDescent="0.2">
      <c r="A98" s="9">
        <v>45692.899349224535</v>
      </c>
      <c r="B98" s="10" t="s">
        <v>250</v>
      </c>
      <c r="C98" s="10" t="s">
        <v>383</v>
      </c>
      <c r="D98" s="10" t="s">
        <v>384</v>
      </c>
      <c r="E98" s="11">
        <v>22577</v>
      </c>
      <c r="F98" s="10" t="s">
        <v>12</v>
      </c>
      <c r="G98" s="12" t="s">
        <v>385</v>
      </c>
      <c r="H98" s="10" t="s">
        <v>68</v>
      </c>
      <c r="J98" t="str" cm="1">
        <f t="array" ref="J98">IF(ISNA(MATCH(L98,$K$1:K97+K99:K245,0)),"Unique","Duplicate")</f>
        <v>Unique</v>
      </c>
      <c r="K98" t="str">
        <f>UPPER(_xlfn.CONCAT(Form_Responses1[[#This Row],[Prénom]], " ", Form_Responses1[[#This Row],[Nom]]))</f>
        <v xml:space="preserve">MICHEL  SOUPLET </v>
      </c>
      <c r="L98" t="str">
        <f>UPPER(_xlfn.CONCAT(Form_Responses1[[#This Row],[Prénom]], " ", Form_Responses1[[#This Row],[Nom]]))</f>
        <v xml:space="preserve">MICHEL  SOUPLET </v>
      </c>
      <c r="N98">
        <f t="shared" ref="N98:N132" si="3">COUNTIFS(K:K,K98)</f>
        <v>1</v>
      </c>
    </row>
    <row r="99" spans="1:14" x14ac:dyDescent="0.2">
      <c r="A99" s="4">
        <v>45692.909603576394</v>
      </c>
      <c r="B99" s="5" t="s">
        <v>386</v>
      </c>
      <c r="C99" s="5" t="s">
        <v>387</v>
      </c>
      <c r="D99" s="5" t="s">
        <v>388</v>
      </c>
      <c r="E99" s="6">
        <v>21151</v>
      </c>
      <c r="F99" s="5" t="s">
        <v>12</v>
      </c>
      <c r="G99" s="7" t="s">
        <v>389</v>
      </c>
      <c r="H99" s="5" t="s">
        <v>14</v>
      </c>
      <c r="J99" t="str" cm="1">
        <f t="array" ref="J99">IF(ISNA(MATCH(L99,$K$1:K98+K100:K246,0)),"Unique","Duplicate")</f>
        <v>Unique</v>
      </c>
      <c r="K99" t="str">
        <f>UPPER(_xlfn.CONCAT(Form_Responses1[[#This Row],[Prénom]], " ", Form_Responses1[[#This Row],[Nom]]))</f>
        <v>JOSIANE STIERNON</v>
      </c>
      <c r="L99" t="str">
        <f>UPPER(_xlfn.CONCAT(Form_Responses1[[#This Row],[Prénom]], " ", Form_Responses1[[#This Row],[Nom]]))</f>
        <v>JOSIANE STIERNON</v>
      </c>
      <c r="N99">
        <f t="shared" si="3"/>
        <v>1</v>
      </c>
    </row>
    <row r="100" spans="1:14" x14ac:dyDescent="0.2">
      <c r="A100" s="9">
        <v>45692.921932800928</v>
      </c>
      <c r="B100" s="10" t="s">
        <v>390</v>
      </c>
      <c r="C100" s="10" t="s">
        <v>391</v>
      </c>
      <c r="D100" s="10" t="s">
        <v>518</v>
      </c>
      <c r="E100" s="11">
        <v>31985</v>
      </c>
      <c r="F100" s="10" t="s">
        <v>12</v>
      </c>
      <c r="G100" s="12" t="s">
        <v>392</v>
      </c>
      <c r="J100" t="str" cm="1">
        <f t="array" ref="J100">IF(ISNA(MATCH(L100,$K$1:K99+K101:K247,0)),"Unique","Duplicate")</f>
        <v>Unique</v>
      </c>
      <c r="K100" t="str">
        <f>UPPER(_xlfn.CONCAT(Form_Responses1[[#This Row],[Prénom]], " ", Form_Responses1[[#This Row],[Nom]]))</f>
        <v>GILLES  MELODIE</v>
      </c>
      <c r="L100" t="str">
        <f>UPPER(_xlfn.CONCAT(Form_Responses1[[#This Row],[Prénom]], " ", Form_Responses1[[#This Row],[Nom]]))</f>
        <v>GILLES  MELODIE</v>
      </c>
      <c r="N100">
        <f t="shared" si="3"/>
        <v>1</v>
      </c>
    </row>
    <row r="101" spans="1:14" x14ac:dyDescent="0.2">
      <c r="A101" s="4">
        <v>45692.952898171294</v>
      </c>
      <c r="B101" s="5" t="s">
        <v>393</v>
      </c>
      <c r="C101" s="5" t="s">
        <v>394</v>
      </c>
      <c r="D101" s="5" t="s">
        <v>395</v>
      </c>
      <c r="E101" s="6">
        <v>21707</v>
      </c>
      <c r="F101" s="5" t="s">
        <v>12</v>
      </c>
      <c r="G101" s="7" t="s">
        <v>396</v>
      </c>
      <c r="H101" s="5" t="s">
        <v>14</v>
      </c>
      <c r="J101" t="str" cm="1">
        <f t="array" ref="J101">IF(ISNA(MATCH(L101,$K$1:K100+K102:K248,0)),"Unique","Duplicate")</f>
        <v>Unique</v>
      </c>
      <c r="K101" t="str">
        <f>UPPER(_xlfn.CONCAT(Form_Responses1[[#This Row],[Prénom]], " ", Form_Responses1[[#This Row],[Nom]]))</f>
        <v>ROBERT DUPONT</v>
      </c>
      <c r="L101" t="str">
        <f>UPPER(_xlfn.CONCAT(Form_Responses1[[#This Row],[Prénom]], " ", Form_Responses1[[#This Row],[Nom]]))</f>
        <v>ROBERT DUPONT</v>
      </c>
      <c r="N101">
        <f t="shared" si="3"/>
        <v>1</v>
      </c>
    </row>
    <row r="102" spans="1:14" x14ac:dyDescent="0.2">
      <c r="A102" s="9">
        <v>45692.968325300928</v>
      </c>
      <c r="B102" s="10" t="s">
        <v>397</v>
      </c>
      <c r="C102" s="10" t="s">
        <v>398</v>
      </c>
      <c r="D102" s="10" t="s">
        <v>399</v>
      </c>
      <c r="E102" s="11">
        <v>33009</v>
      </c>
      <c r="F102" s="10" t="s">
        <v>12</v>
      </c>
      <c r="G102" s="10" t="s">
        <v>400</v>
      </c>
      <c r="H102" s="10" t="s">
        <v>401</v>
      </c>
      <c r="J102" t="str" cm="1">
        <f t="array" ref="J102">IF(ISNA(MATCH(L102,$K$1:K101+K103:K249,0)),"Unique","Duplicate")</f>
        <v>Unique</v>
      </c>
      <c r="K102" t="str">
        <f>UPPER(_xlfn.CONCAT(Form_Responses1[[#This Row],[Prénom]], " ", Form_Responses1[[#This Row],[Nom]]))</f>
        <v xml:space="preserve">ALEXANDRE  BERNY </v>
      </c>
      <c r="L102" t="str">
        <f>UPPER(_xlfn.CONCAT(Form_Responses1[[#This Row],[Prénom]], " ", Form_Responses1[[#This Row],[Nom]]))</f>
        <v xml:space="preserve">ALEXANDRE  BERNY </v>
      </c>
      <c r="N102">
        <f t="shared" si="3"/>
        <v>1</v>
      </c>
    </row>
    <row r="103" spans="1:14" x14ac:dyDescent="0.2">
      <c r="A103" s="4">
        <v>45693.413326689813</v>
      </c>
      <c r="B103" s="5" t="s">
        <v>402</v>
      </c>
      <c r="C103" s="5" t="s">
        <v>403</v>
      </c>
      <c r="D103" s="5" t="s">
        <v>404</v>
      </c>
      <c r="E103" s="6">
        <v>36670</v>
      </c>
      <c r="F103" s="5" t="s">
        <v>12</v>
      </c>
      <c r="G103" s="7" t="s">
        <v>405</v>
      </c>
      <c r="H103" s="5" t="s">
        <v>406</v>
      </c>
      <c r="J103" t="str" cm="1">
        <f t="array" ref="J103">IF(ISNA(MATCH(L103,$K$1:K102+K104:K250,0)),"Unique","Duplicate")</f>
        <v>Unique</v>
      </c>
      <c r="K103" t="str">
        <f>UPPER(_xlfn.CONCAT(Form_Responses1[[#This Row],[Prénom]], " ", Form_Responses1[[#This Row],[Nom]]))</f>
        <v>ELENA FERRO</v>
      </c>
      <c r="L103" t="str">
        <f>UPPER(_xlfn.CONCAT(Form_Responses1[[#This Row],[Prénom]], " ", Form_Responses1[[#This Row],[Nom]]))</f>
        <v>ELENA FERRO</v>
      </c>
      <c r="N103">
        <f t="shared" si="3"/>
        <v>1</v>
      </c>
    </row>
    <row r="104" spans="1:14" x14ac:dyDescent="0.2">
      <c r="A104" s="9">
        <v>45693.420642569443</v>
      </c>
      <c r="B104" s="10" t="s">
        <v>407</v>
      </c>
      <c r="C104" s="10" t="s">
        <v>408</v>
      </c>
      <c r="D104" s="10" t="s">
        <v>409</v>
      </c>
      <c r="E104" s="11">
        <v>26304</v>
      </c>
      <c r="F104" s="10" t="s">
        <v>12</v>
      </c>
      <c r="G104" s="12" t="s">
        <v>410</v>
      </c>
      <c r="H104" s="10" t="s">
        <v>43</v>
      </c>
      <c r="J104" t="str" cm="1">
        <f t="array" ref="J104">IF(ISNA(MATCH(L104,$K$1:K103+K105:K251,0)),"Unique","Duplicate")</f>
        <v>Unique</v>
      </c>
      <c r="K104" t="str">
        <f>UPPER(_xlfn.CONCAT(Form_Responses1[[#This Row],[Prénom]], " ", Form_Responses1[[#This Row],[Nom]]))</f>
        <v xml:space="preserve">VINCENZO  TRUSCIA </v>
      </c>
      <c r="L104" t="str">
        <f>UPPER(_xlfn.CONCAT(Form_Responses1[[#This Row],[Prénom]], " ", Form_Responses1[[#This Row],[Nom]]))</f>
        <v xml:space="preserve">VINCENZO  TRUSCIA </v>
      </c>
      <c r="N104">
        <f t="shared" si="3"/>
        <v>1</v>
      </c>
    </row>
    <row r="105" spans="1:14" x14ac:dyDescent="0.2">
      <c r="A105" s="4">
        <v>45693.471953472224</v>
      </c>
      <c r="B105" s="5" t="s">
        <v>411</v>
      </c>
      <c r="C105" s="5" t="s">
        <v>412</v>
      </c>
      <c r="D105" s="5" t="s">
        <v>413</v>
      </c>
      <c r="E105" s="6">
        <v>33645</v>
      </c>
      <c r="F105" s="5" t="s">
        <v>12</v>
      </c>
      <c r="H105" s="5" t="s">
        <v>30</v>
      </c>
      <c r="J105" t="str" cm="1">
        <f t="array" ref="J105">IF(ISNA(MATCH(L105,$K$1:K104+K106:K252,0)),"Unique","Duplicate")</f>
        <v>Unique</v>
      </c>
      <c r="K105" t="str">
        <f>UPPER(_xlfn.CONCAT(Form_Responses1[[#This Row],[Prénom]], " ", Form_Responses1[[#This Row],[Nom]]))</f>
        <v>LAURA GASPARD</v>
      </c>
      <c r="L105" t="str">
        <f>UPPER(_xlfn.CONCAT(Form_Responses1[[#This Row],[Prénom]], " ", Form_Responses1[[#This Row],[Nom]]))</f>
        <v>LAURA GASPARD</v>
      </c>
      <c r="N105">
        <f t="shared" si="3"/>
        <v>1</v>
      </c>
    </row>
    <row r="106" spans="1:14" x14ac:dyDescent="0.2">
      <c r="A106" s="9">
        <v>45693.538745254627</v>
      </c>
      <c r="B106" s="10" t="s">
        <v>414</v>
      </c>
      <c r="C106" s="10" t="s">
        <v>415</v>
      </c>
      <c r="D106" s="10" t="s">
        <v>416</v>
      </c>
      <c r="E106" s="11">
        <v>33982</v>
      </c>
      <c r="F106" s="10" t="s">
        <v>12</v>
      </c>
      <c r="G106" s="12" t="s">
        <v>417</v>
      </c>
      <c r="H106" s="10" t="s">
        <v>30</v>
      </c>
      <c r="J106" t="str" cm="1">
        <f t="array" ref="J106">IF(ISNA(MATCH(L106,$K$1:K105+K107:K253,0)),"Unique","Duplicate")</f>
        <v>Unique</v>
      </c>
      <c r="K106" t="str">
        <f>UPPER(_xlfn.CONCAT(Form_Responses1[[#This Row],[Prénom]], " ", Form_Responses1[[#This Row],[Nom]]))</f>
        <v>JÉRÔME  BROCART</v>
      </c>
      <c r="L106" t="str">
        <f>UPPER(_xlfn.CONCAT(Form_Responses1[[#This Row],[Prénom]], " ", Form_Responses1[[#This Row],[Nom]]))</f>
        <v>JÉRÔME  BROCART</v>
      </c>
      <c r="N106">
        <f t="shared" si="3"/>
        <v>1</v>
      </c>
    </row>
    <row r="107" spans="1:14" x14ac:dyDescent="0.2">
      <c r="A107" s="4">
        <v>45693.637857870373</v>
      </c>
      <c r="B107" s="5" t="s">
        <v>418</v>
      </c>
      <c r="C107" s="5" t="s">
        <v>419</v>
      </c>
      <c r="D107" s="5" t="s">
        <v>420</v>
      </c>
      <c r="E107" s="6">
        <v>25297</v>
      </c>
      <c r="F107" s="5" t="s">
        <v>12</v>
      </c>
      <c r="G107" s="7" t="s">
        <v>421</v>
      </c>
      <c r="H107" s="5" t="s">
        <v>43</v>
      </c>
      <c r="J107" t="str" cm="1">
        <f t="array" ref="J107">IF(ISNA(MATCH(L107,$K$1:K106+K108:K254,0)),"Unique","Duplicate")</f>
        <v>Unique</v>
      </c>
      <c r="K107" t="str">
        <f>UPPER(_xlfn.CONCAT(Form_Responses1[[#This Row],[Prénom]], " ", Form_Responses1[[#This Row],[Nom]]))</f>
        <v>INGRID BUSA</v>
      </c>
      <c r="L107" t="str">
        <f>UPPER(_xlfn.CONCAT(Form_Responses1[[#This Row],[Prénom]], " ", Form_Responses1[[#This Row],[Nom]]))</f>
        <v>INGRID BUSA</v>
      </c>
      <c r="N107">
        <f t="shared" si="3"/>
        <v>1</v>
      </c>
    </row>
    <row r="108" spans="1:14" x14ac:dyDescent="0.2">
      <c r="A108" s="9">
        <v>45693.685211666671</v>
      </c>
      <c r="B108" s="10" t="s">
        <v>422</v>
      </c>
      <c r="C108" s="10" t="s">
        <v>423</v>
      </c>
      <c r="D108" s="10" t="s">
        <v>424</v>
      </c>
      <c r="E108" s="11">
        <v>25071</v>
      </c>
      <c r="F108" s="10" t="s">
        <v>12</v>
      </c>
      <c r="G108" s="12" t="s">
        <v>425</v>
      </c>
      <c r="H108" s="10" t="s">
        <v>426</v>
      </c>
      <c r="J108" t="str" cm="1">
        <f t="array" ref="J108">IF(ISNA(MATCH(L108,$K$1:K107+K109:K255,0)),"Unique","Duplicate")</f>
        <v>Unique</v>
      </c>
      <c r="K108" t="str">
        <f>UPPER(_xlfn.CONCAT(Form_Responses1[[#This Row],[Prénom]], " ", Form_Responses1[[#This Row],[Nom]]))</f>
        <v xml:space="preserve">PHILIPPE  CUPERS </v>
      </c>
      <c r="L108" t="str">
        <f>UPPER(_xlfn.CONCAT(Form_Responses1[[#This Row],[Prénom]], " ", Form_Responses1[[#This Row],[Nom]]))</f>
        <v xml:space="preserve">PHILIPPE  CUPERS </v>
      </c>
      <c r="N108">
        <f t="shared" si="3"/>
        <v>1</v>
      </c>
    </row>
    <row r="109" spans="1:14" x14ac:dyDescent="0.2">
      <c r="A109" s="4">
        <v>45693.689661921293</v>
      </c>
      <c r="B109" s="5" t="s">
        <v>427</v>
      </c>
      <c r="C109" s="5" t="s">
        <v>428</v>
      </c>
      <c r="D109" s="5" t="s">
        <v>429</v>
      </c>
      <c r="E109" s="6">
        <v>28234</v>
      </c>
      <c r="F109" s="5" t="s">
        <v>12</v>
      </c>
      <c r="G109" s="5" t="s">
        <v>430</v>
      </c>
      <c r="H109" s="5" t="s">
        <v>431</v>
      </c>
      <c r="J109" t="str" cm="1">
        <f t="array" ref="J109">IF(ISNA(MATCH(L109,$K$1:K108+K110:K256,0)),"Unique","Duplicate")</f>
        <v>Unique</v>
      </c>
      <c r="K109" t="str">
        <f>UPPER(_xlfn.CONCAT(Form_Responses1[[#This Row],[Prénom]], " ", Form_Responses1[[#This Row],[Nom]]))</f>
        <v xml:space="preserve">VALÉRIE  MANCINI </v>
      </c>
      <c r="L109" t="str">
        <f>UPPER(_xlfn.CONCAT(Form_Responses1[[#This Row],[Prénom]], " ", Form_Responses1[[#This Row],[Nom]]))</f>
        <v xml:space="preserve">VALÉRIE  MANCINI </v>
      </c>
      <c r="N109">
        <f t="shared" si="3"/>
        <v>1</v>
      </c>
    </row>
    <row r="110" spans="1:14" x14ac:dyDescent="0.2">
      <c r="A110" s="9">
        <v>45693.736537546298</v>
      </c>
      <c r="B110" s="10" t="s">
        <v>321</v>
      </c>
      <c r="C110" s="10" t="s">
        <v>432</v>
      </c>
      <c r="D110" s="10" t="s">
        <v>433</v>
      </c>
      <c r="E110" s="11">
        <v>27053</v>
      </c>
      <c r="F110" s="10" t="s">
        <v>12</v>
      </c>
      <c r="G110" s="12" t="s">
        <v>434</v>
      </c>
      <c r="H110" s="10" t="s">
        <v>435</v>
      </c>
      <c r="J110" t="str" cm="1">
        <f t="array" ref="J110">IF(ISNA(MATCH(L110,$K$1:K109+K111:K257,0)),"Unique","Duplicate")</f>
        <v>Unique</v>
      </c>
      <c r="K110" t="str">
        <f>UPPER(_xlfn.CONCAT(Form_Responses1[[#This Row],[Prénom]], " ", Form_Responses1[[#This Row],[Nom]]))</f>
        <v>CHRISTELLE  KECH</v>
      </c>
      <c r="L110" t="str">
        <f>UPPER(_xlfn.CONCAT(Form_Responses1[[#This Row],[Prénom]], " ", Form_Responses1[[#This Row],[Nom]]))</f>
        <v>CHRISTELLE  KECH</v>
      </c>
      <c r="N110">
        <f t="shared" si="3"/>
        <v>1</v>
      </c>
    </row>
    <row r="111" spans="1:14" x14ac:dyDescent="0.2">
      <c r="A111" s="4">
        <v>45693.82783091435</v>
      </c>
      <c r="B111" s="5" t="s">
        <v>436</v>
      </c>
      <c r="C111" s="5" t="s">
        <v>437</v>
      </c>
      <c r="D111" s="5" t="s">
        <v>438</v>
      </c>
      <c r="E111" s="6">
        <v>26041</v>
      </c>
      <c r="F111" s="5" t="s">
        <v>12</v>
      </c>
      <c r="H111" s="5" t="s">
        <v>377</v>
      </c>
      <c r="J111" t="str" cm="1">
        <f t="array" ref="J111">IF(ISNA(MATCH(L111,$K$1:K110+K112:K258,0)),"Unique","Duplicate")</f>
        <v>Unique</v>
      </c>
      <c r="K111" t="str">
        <f>UPPER(_xlfn.CONCAT(Form_Responses1[[#This Row],[Prénom]], " ", Form_Responses1[[#This Row],[Nom]]))</f>
        <v>CÉLINE  MUNOS</v>
      </c>
      <c r="L111" t="str">
        <f>UPPER(_xlfn.CONCAT(Form_Responses1[[#This Row],[Prénom]], " ", Form_Responses1[[#This Row],[Nom]]))</f>
        <v>CÉLINE  MUNOS</v>
      </c>
      <c r="N111">
        <f t="shared" si="3"/>
        <v>1</v>
      </c>
    </row>
    <row r="112" spans="1:14" x14ac:dyDescent="0.2">
      <c r="A112" s="9">
        <v>45693.836620277776</v>
      </c>
      <c r="B112" s="10" t="s">
        <v>439</v>
      </c>
      <c r="C112" s="10" t="s">
        <v>440</v>
      </c>
      <c r="D112" s="10" t="s">
        <v>441</v>
      </c>
      <c r="E112" s="11">
        <v>25127</v>
      </c>
      <c r="F112" s="10" t="s">
        <v>12</v>
      </c>
      <c r="G112" s="10" t="s">
        <v>442</v>
      </c>
      <c r="H112" s="10" t="s">
        <v>30</v>
      </c>
      <c r="J112" t="str" cm="1">
        <f t="array" ref="J112">IF(ISNA(MATCH(L112,$K$1:K111+K113:K259,0)),"Unique","Duplicate")</f>
        <v>Unique</v>
      </c>
      <c r="K112" t="str">
        <f>UPPER(_xlfn.CONCAT(Form_Responses1[[#This Row],[Prénom]], " ", Form_Responses1[[#This Row],[Nom]]))</f>
        <v>GILLES HENDRICÉ</v>
      </c>
      <c r="L112" t="str">
        <f>UPPER(_xlfn.CONCAT(Form_Responses1[[#This Row],[Prénom]], " ", Form_Responses1[[#This Row],[Nom]]))</f>
        <v>GILLES HENDRICÉ</v>
      </c>
      <c r="N112">
        <f t="shared" si="3"/>
        <v>1</v>
      </c>
    </row>
    <row r="113" spans="1:14" x14ac:dyDescent="0.2">
      <c r="A113" s="4">
        <v>45693.845395081022</v>
      </c>
      <c r="B113" s="5" t="s">
        <v>443</v>
      </c>
      <c r="C113" s="5" t="s">
        <v>444</v>
      </c>
      <c r="D113" s="5" t="s">
        <v>445</v>
      </c>
      <c r="E113" s="6">
        <v>24418</v>
      </c>
      <c r="F113" s="5" t="s">
        <v>12</v>
      </c>
      <c r="H113" s="5">
        <v>6</v>
      </c>
      <c r="J113" t="str" cm="1">
        <f t="array" ref="J113">IF(ISNA(MATCH(L113,$K$1:K112+K114:K260,0)),"Unique","Duplicate")</f>
        <v>Unique</v>
      </c>
      <c r="K113" t="str">
        <f>UPPER(_xlfn.CONCAT(Form_Responses1[[#This Row],[Prénom]], " ", Form_Responses1[[#This Row],[Nom]]))</f>
        <v xml:space="preserve">CAROLINE  FEKETE </v>
      </c>
      <c r="L113" t="str">
        <f>UPPER(_xlfn.CONCAT(Form_Responses1[[#This Row],[Prénom]], " ", Form_Responses1[[#This Row],[Nom]]))</f>
        <v xml:space="preserve">CAROLINE  FEKETE </v>
      </c>
      <c r="N113">
        <f t="shared" si="3"/>
        <v>1</v>
      </c>
    </row>
    <row r="114" spans="1:14" x14ac:dyDescent="0.2">
      <c r="A114" s="9">
        <v>45693.919628564814</v>
      </c>
      <c r="B114" s="10" t="s">
        <v>271</v>
      </c>
      <c r="C114" s="10" t="s">
        <v>446</v>
      </c>
      <c r="D114" s="10" t="s">
        <v>447</v>
      </c>
      <c r="E114" s="11">
        <v>26478</v>
      </c>
      <c r="F114" s="10" t="s">
        <v>12</v>
      </c>
      <c r="G114" s="12" t="s">
        <v>448</v>
      </c>
      <c r="H114" s="10" t="s">
        <v>14</v>
      </c>
      <c r="J114" t="str" cm="1">
        <f t="array" ref="J114">IF(ISNA(MATCH(L114,$K$1:K113+K115:K261,0)),"Unique","Duplicate")</f>
        <v>Unique</v>
      </c>
      <c r="K114" t="str">
        <f>UPPER(_xlfn.CONCAT(Form_Responses1[[#This Row],[Prénom]], " ", Form_Responses1[[#This Row],[Nom]]))</f>
        <v>OLIVIER THONON</v>
      </c>
      <c r="L114" t="str">
        <f>UPPER(_xlfn.CONCAT(Form_Responses1[[#This Row],[Prénom]], " ", Form_Responses1[[#This Row],[Nom]]))</f>
        <v>OLIVIER THONON</v>
      </c>
      <c r="N114">
        <f t="shared" si="3"/>
        <v>1</v>
      </c>
    </row>
    <row r="115" spans="1:14" x14ac:dyDescent="0.2">
      <c r="A115" s="4">
        <v>45693.924989606487</v>
      </c>
      <c r="B115" s="5" t="s">
        <v>449</v>
      </c>
      <c r="C115" s="5" t="s">
        <v>450</v>
      </c>
      <c r="D115" s="5" t="s">
        <v>451</v>
      </c>
      <c r="E115" s="6">
        <v>23382</v>
      </c>
      <c r="F115" s="5" t="s">
        <v>12</v>
      </c>
      <c r="G115" s="7" t="s">
        <v>452</v>
      </c>
      <c r="H115" s="5" t="s">
        <v>453</v>
      </c>
      <c r="J115" t="str" cm="1">
        <f t="array" ref="J115">IF(ISNA(MATCH(L115,$K$1:K114+K116:K262,0)),"Unique","Duplicate")</f>
        <v>Unique</v>
      </c>
      <c r="K115" t="str">
        <f>UPPER(_xlfn.CONCAT(Form_Responses1[[#This Row],[Prénom]], " ", Form_Responses1[[#This Row],[Nom]]))</f>
        <v xml:space="preserve">MONIQUE KÉRIS </v>
      </c>
      <c r="L115" t="str">
        <f>UPPER(_xlfn.CONCAT(Form_Responses1[[#This Row],[Prénom]], " ", Form_Responses1[[#This Row],[Nom]]))</f>
        <v xml:space="preserve">MONIQUE KÉRIS </v>
      </c>
      <c r="N115">
        <f t="shared" si="3"/>
        <v>1</v>
      </c>
    </row>
    <row r="116" spans="1:14" x14ac:dyDescent="0.2">
      <c r="A116" s="9">
        <v>45693.931899062503</v>
      </c>
      <c r="B116" s="17" t="s">
        <v>517</v>
      </c>
      <c r="C116" s="10" t="s">
        <v>122</v>
      </c>
      <c r="D116" s="17" t="s">
        <v>454</v>
      </c>
      <c r="E116" s="11">
        <v>20741</v>
      </c>
      <c r="F116" s="10" t="s">
        <v>12</v>
      </c>
      <c r="G116" s="10" t="s">
        <v>123</v>
      </c>
      <c r="H116" s="10" t="s">
        <v>124</v>
      </c>
      <c r="J116" t="str" cm="1">
        <f t="array" ref="J116">IF(ISNA(MATCH(L116,$K$1:K115+K117:K263,0)),"Unique","Duplicate")</f>
        <v>Unique</v>
      </c>
      <c r="K116" t="str">
        <f>UPPER(_xlfn.CONCAT(Form_Responses1[[#This Row],[Prénom]], " ", Form_Responses1[[#This Row],[Nom]]))</f>
        <v>JEAN-POL KENIS</v>
      </c>
      <c r="L116" t="str">
        <f>UPPER(_xlfn.CONCAT(Form_Responses1[[#This Row],[Prénom]], " ", Form_Responses1[[#This Row],[Nom]]))</f>
        <v>JEAN-POL KENIS</v>
      </c>
      <c r="N116">
        <f t="shared" si="3"/>
        <v>1</v>
      </c>
    </row>
    <row r="117" spans="1:14" x14ac:dyDescent="0.2">
      <c r="A117" s="4">
        <v>45693.953754756949</v>
      </c>
      <c r="B117" s="5" t="s">
        <v>455</v>
      </c>
      <c r="C117" s="5" t="s">
        <v>456</v>
      </c>
      <c r="D117" s="5" t="s">
        <v>457</v>
      </c>
      <c r="E117" s="6">
        <v>24621</v>
      </c>
      <c r="F117" s="5" t="s">
        <v>12</v>
      </c>
      <c r="G117" s="7" t="s">
        <v>458</v>
      </c>
      <c r="H117" s="5" t="s">
        <v>43</v>
      </c>
      <c r="J117" t="str" cm="1">
        <f t="array" ref="J117">IF(ISNA(MATCH(L117,$K$1:K116+K118:K264,0)),"Unique","Duplicate")</f>
        <v>Unique</v>
      </c>
      <c r="K117" t="str">
        <f>UPPER(_xlfn.CONCAT(Form_Responses1[[#This Row],[Prénom]], " ", Form_Responses1[[#This Row],[Nom]]))</f>
        <v>MARC HENRY</v>
      </c>
      <c r="L117" t="str">
        <f>UPPER(_xlfn.CONCAT(Form_Responses1[[#This Row],[Prénom]], " ", Form_Responses1[[#This Row],[Nom]]))</f>
        <v>MARC HENRY</v>
      </c>
      <c r="N117">
        <f t="shared" si="3"/>
        <v>1</v>
      </c>
    </row>
    <row r="118" spans="1:14" x14ac:dyDescent="0.2">
      <c r="A118" s="9">
        <v>45694.030847002316</v>
      </c>
      <c r="B118" s="10" t="s">
        <v>459</v>
      </c>
      <c r="C118" s="10" t="s">
        <v>460</v>
      </c>
      <c r="D118" s="10" t="s">
        <v>461</v>
      </c>
      <c r="E118" s="11">
        <v>33009</v>
      </c>
      <c r="F118" s="10" t="s">
        <v>12</v>
      </c>
      <c r="G118" s="10" t="s">
        <v>462</v>
      </c>
      <c r="H118" s="10" t="s">
        <v>463</v>
      </c>
      <c r="J118" t="str" cm="1">
        <f t="array" ref="J118">IF(ISNA(MATCH(L118,$K$1:K117+K119:K265,0)),"Unique","Duplicate")</f>
        <v>Unique</v>
      </c>
      <c r="K118" t="str">
        <f>UPPER(_xlfn.CONCAT(Form_Responses1[[#This Row],[Prénom]], " ", Form_Responses1[[#This Row],[Nom]]))</f>
        <v xml:space="preserve">KEMRAN ILYASOV </v>
      </c>
      <c r="L118" t="str">
        <f>UPPER(_xlfn.CONCAT(Form_Responses1[[#This Row],[Prénom]], " ", Form_Responses1[[#This Row],[Nom]]))</f>
        <v xml:space="preserve">KEMRAN ILYASOV </v>
      </c>
      <c r="N118">
        <f t="shared" si="3"/>
        <v>1</v>
      </c>
    </row>
    <row r="119" spans="1:14" x14ac:dyDescent="0.2">
      <c r="A119" s="4">
        <v>45694.323117245367</v>
      </c>
      <c r="B119" s="5" t="s">
        <v>464</v>
      </c>
      <c r="C119" s="5" t="s">
        <v>465</v>
      </c>
      <c r="D119" s="5" t="s">
        <v>466</v>
      </c>
      <c r="E119" s="6">
        <v>27576</v>
      </c>
      <c r="F119" s="5" t="s">
        <v>12</v>
      </c>
      <c r="G119" s="5" t="s">
        <v>467</v>
      </c>
      <c r="H119" s="5" t="s">
        <v>102</v>
      </c>
      <c r="J119" t="str" cm="1">
        <f t="array" ref="J119">IF(ISNA(MATCH(L119,$K$1:K118+K120:K266,0)),"Unique","Duplicate")</f>
        <v>Unique</v>
      </c>
      <c r="K119" t="str">
        <f>UPPER(_xlfn.CONCAT(Form_Responses1[[#This Row],[Prénom]], " ", Form_Responses1[[#This Row],[Nom]]))</f>
        <v xml:space="preserve">ALI MOKHLES </v>
      </c>
      <c r="L119" t="str">
        <f>UPPER(_xlfn.CONCAT(Form_Responses1[[#This Row],[Prénom]], " ", Form_Responses1[[#This Row],[Nom]]))</f>
        <v xml:space="preserve">ALI MOKHLES </v>
      </c>
      <c r="N119">
        <f t="shared" si="3"/>
        <v>1</v>
      </c>
    </row>
    <row r="120" spans="1:14" x14ac:dyDescent="0.2">
      <c r="A120" s="9">
        <v>45694.390923831015</v>
      </c>
      <c r="B120" s="10" t="s">
        <v>328</v>
      </c>
      <c r="C120" s="10" t="s">
        <v>468</v>
      </c>
      <c r="D120" s="10" t="s">
        <v>469</v>
      </c>
      <c r="E120" s="11">
        <v>25198</v>
      </c>
      <c r="F120" s="10" t="s">
        <v>12</v>
      </c>
      <c r="G120" s="10" t="s">
        <v>470</v>
      </c>
      <c r="H120" s="10" t="s">
        <v>471</v>
      </c>
      <c r="J120" t="str" cm="1">
        <f t="array" ref="J120">IF(ISNA(MATCH(L120,$K$1:K119+K121:K267,0)),"Unique","Duplicate")</f>
        <v>Unique</v>
      </c>
      <c r="K120" t="str">
        <f>UPPER(_xlfn.CONCAT(Form_Responses1[[#This Row],[Prénom]], " ", Form_Responses1[[#This Row],[Nom]]))</f>
        <v>JEAN-MARIE CHUDYBA</v>
      </c>
      <c r="L120" t="str">
        <f>UPPER(_xlfn.CONCAT(Form_Responses1[[#This Row],[Prénom]], " ", Form_Responses1[[#This Row],[Nom]]))</f>
        <v>JEAN-MARIE CHUDYBA</v>
      </c>
      <c r="N120">
        <f t="shared" si="3"/>
        <v>1</v>
      </c>
    </row>
    <row r="121" spans="1:14" x14ac:dyDescent="0.2">
      <c r="A121" s="4">
        <v>45694.442610833328</v>
      </c>
      <c r="B121" s="5" t="s">
        <v>44</v>
      </c>
      <c r="C121" s="5" t="s">
        <v>472</v>
      </c>
      <c r="D121" s="5" t="s">
        <v>326</v>
      </c>
      <c r="E121" s="6">
        <v>36589</v>
      </c>
      <c r="F121" s="5" t="s">
        <v>12</v>
      </c>
      <c r="G121" s="7" t="s">
        <v>473</v>
      </c>
      <c r="H121" s="5" t="s">
        <v>102</v>
      </c>
      <c r="J121" t="str" cm="1">
        <f t="array" ref="J121">IF(ISNA(MATCH(L121,$K$1:K120+K122:K268,0)),"Unique","Duplicate")</f>
        <v>Unique</v>
      </c>
      <c r="K121" t="str">
        <f>UPPER(_xlfn.CONCAT(Form_Responses1[[#This Row],[Prénom]], " ", Form_Responses1[[#This Row],[Nom]]))</f>
        <v>MANON LAMBOTTE</v>
      </c>
      <c r="L121" t="str">
        <f>UPPER(_xlfn.CONCAT(Form_Responses1[[#This Row],[Prénom]], " ", Form_Responses1[[#This Row],[Nom]]))</f>
        <v>MANON LAMBOTTE</v>
      </c>
      <c r="N121">
        <f t="shared" si="3"/>
        <v>1</v>
      </c>
    </row>
    <row r="122" spans="1:14" x14ac:dyDescent="0.2">
      <c r="A122" s="4">
        <v>45694.850391446758</v>
      </c>
      <c r="B122" s="5" t="s">
        <v>474</v>
      </c>
      <c r="C122" s="5" t="s">
        <v>16</v>
      </c>
      <c r="D122" s="5" t="s">
        <v>475</v>
      </c>
      <c r="E122" s="6">
        <v>14942</v>
      </c>
      <c r="F122" s="5" t="s">
        <v>12</v>
      </c>
      <c r="G122" s="7" t="s">
        <v>476</v>
      </c>
      <c r="H122" s="5" t="s">
        <v>14</v>
      </c>
      <c r="J122" t="str" cm="1">
        <f t="array" ref="J122">IF(ISNA(MATCH(L122,$K$1:K121+K123:K270,0)),"Unique","Duplicate")</f>
        <v>Unique</v>
      </c>
      <c r="K122" t="str">
        <f>UPPER(_xlfn.CONCAT(Form_Responses1[[#This Row],[Prénom]], " ", Form_Responses1[[#This Row],[Nom]]))</f>
        <v>CALOGERO MAURO</v>
      </c>
      <c r="L122" t="str">
        <f>UPPER(_xlfn.CONCAT(Form_Responses1[[#This Row],[Prénom]], " ", Form_Responses1[[#This Row],[Nom]]))</f>
        <v>CALOGERO MAURO</v>
      </c>
      <c r="N122">
        <f t="shared" si="3"/>
        <v>1</v>
      </c>
    </row>
    <row r="123" spans="1:14" x14ac:dyDescent="0.2">
      <c r="A123" s="9">
        <v>45695.387389502313</v>
      </c>
      <c r="B123" s="10" t="s">
        <v>477</v>
      </c>
      <c r="C123" s="10" t="s">
        <v>478</v>
      </c>
      <c r="D123" s="10" t="s">
        <v>479</v>
      </c>
      <c r="E123" s="11">
        <v>29383</v>
      </c>
      <c r="F123" s="10" t="s">
        <v>12</v>
      </c>
      <c r="H123" s="10" t="s">
        <v>30</v>
      </c>
      <c r="J123" t="str" cm="1">
        <f t="array" ref="J123">IF(ISNA(MATCH(L123,$K$1:K122+K124:K271,0)),"Unique","Duplicate")</f>
        <v>Unique</v>
      </c>
      <c r="K123" t="str">
        <f>UPPER(_xlfn.CONCAT(Form_Responses1[[#This Row],[Prénom]], " ", Form_Responses1[[#This Row],[Nom]]))</f>
        <v>MOHAMED ABDELMOUMNI</v>
      </c>
      <c r="L123" t="str">
        <f>UPPER(_xlfn.CONCAT(Form_Responses1[[#This Row],[Prénom]], " ", Form_Responses1[[#This Row],[Nom]]))</f>
        <v>MOHAMED ABDELMOUMNI</v>
      </c>
      <c r="N123">
        <f t="shared" si="3"/>
        <v>1</v>
      </c>
    </row>
    <row r="124" spans="1:14" x14ac:dyDescent="0.2">
      <c r="A124" s="4">
        <v>45695.403369768523</v>
      </c>
      <c r="B124" s="5" t="s">
        <v>480</v>
      </c>
      <c r="C124" s="5" t="s">
        <v>481</v>
      </c>
      <c r="D124" s="5" t="s">
        <v>482</v>
      </c>
      <c r="E124" s="6">
        <v>30189</v>
      </c>
      <c r="F124" s="5" t="s">
        <v>12</v>
      </c>
      <c r="G124" s="7" t="s">
        <v>483</v>
      </c>
      <c r="H124" s="5" t="s">
        <v>286</v>
      </c>
      <c r="J124" t="str" cm="1">
        <f t="array" ref="J124">IF(ISNA(MATCH(L124,$K$1:K123+K125:K272,0)),"Unique","Duplicate")</f>
        <v>Unique</v>
      </c>
      <c r="K124" t="str">
        <f>UPPER(_xlfn.CONCAT(Form_Responses1[[#This Row],[Prénom]], " ", Form_Responses1[[#This Row],[Nom]]))</f>
        <v>LIONEL CATOUL</v>
      </c>
      <c r="L124" t="str">
        <f>UPPER(_xlfn.CONCAT(Form_Responses1[[#This Row],[Prénom]], " ", Form_Responses1[[#This Row],[Nom]]))</f>
        <v>LIONEL CATOUL</v>
      </c>
      <c r="N124">
        <f t="shared" si="3"/>
        <v>1</v>
      </c>
    </row>
    <row r="125" spans="1:14" x14ac:dyDescent="0.2">
      <c r="A125" s="9">
        <v>45695.404292349536</v>
      </c>
      <c r="B125" s="10" t="s">
        <v>484</v>
      </c>
      <c r="C125" s="10" t="s">
        <v>485</v>
      </c>
      <c r="D125" s="10" t="s">
        <v>486</v>
      </c>
      <c r="E125" s="11">
        <v>24806</v>
      </c>
      <c r="F125" s="10" t="s">
        <v>12</v>
      </c>
      <c r="G125" s="12" t="s">
        <v>487</v>
      </c>
      <c r="H125" s="10" t="s">
        <v>30</v>
      </c>
      <c r="J125" t="str" cm="1">
        <f t="array" ref="J125">IF(ISNA(MATCH(L125,$K$1:K124+K126:K273,0)),"Unique","Duplicate")</f>
        <v>Unique</v>
      </c>
      <c r="K125" t="str">
        <f>UPPER(_xlfn.CONCAT(Form_Responses1[[#This Row],[Prénom]], " ", Form_Responses1[[#This Row],[Nom]]))</f>
        <v>PHILIPPE ROI</v>
      </c>
      <c r="L125" t="str">
        <f>UPPER(_xlfn.CONCAT(Form_Responses1[[#This Row],[Prénom]], " ", Form_Responses1[[#This Row],[Nom]]))</f>
        <v>PHILIPPE ROI</v>
      </c>
      <c r="N125">
        <f t="shared" si="3"/>
        <v>1</v>
      </c>
    </row>
    <row r="126" spans="1:14" x14ac:dyDescent="0.2">
      <c r="A126" s="4">
        <v>45695.841171516207</v>
      </c>
      <c r="B126" s="5" t="s">
        <v>488</v>
      </c>
      <c r="C126" s="5" t="s">
        <v>489</v>
      </c>
      <c r="D126" s="5" t="s">
        <v>490</v>
      </c>
      <c r="E126" s="6">
        <v>35739</v>
      </c>
      <c r="F126" s="5" t="s">
        <v>12</v>
      </c>
      <c r="G126" s="7" t="s">
        <v>491</v>
      </c>
      <c r="H126" s="5" t="s">
        <v>30</v>
      </c>
      <c r="J126" t="str" cm="1">
        <f t="array" ref="J126">IF(ISNA(MATCH(L126,$K$1:K125+K127:K274,0)),"Unique","Duplicate")</f>
        <v>Unique</v>
      </c>
      <c r="K126" t="str">
        <f>UPPER(_xlfn.CONCAT(Form_Responses1[[#This Row],[Prénom]], " ", Form_Responses1[[#This Row],[Nom]]))</f>
        <v>AURÉLIE  DEPREZ</v>
      </c>
      <c r="L126" t="str">
        <f>UPPER(_xlfn.CONCAT(Form_Responses1[[#This Row],[Prénom]], " ", Form_Responses1[[#This Row],[Nom]]))</f>
        <v>AURÉLIE  DEPREZ</v>
      </c>
      <c r="N126">
        <f t="shared" si="3"/>
        <v>1</v>
      </c>
    </row>
    <row r="127" spans="1:14" x14ac:dyDescent="0.2">
      <c r="A127" s="9">
        <v>45695.841546944444</v>
      </c>
      <c r="B127" s="10" t="s">
        <v>492</v>
      </c>
      <c r="C127" s="10" t="s">
        <v>493</v>
      </c>
      <c r="D127" s="10" t="s">
        <v>494</v>
      </c>
      <c r="E127" s="11">
        <v>45830</v>
      </c>
      <c r="F127" s="10" t="s">
        <v>12</v>
      </c>
      <c r="G127" s="10" t="s">
        <v>495</v>
      </c>
      <c r="H127" s="10" t="s">
        <v>496</v>
      </c>
      <c r="J127" t="str" cm="1">
        <f t="array" ref="J127">IF(ISNA(MATCH(L127,$K$1:K126+K128:K275,0)),"Unique","Duplicate")</f>
        <v>Unique</v>
      </c>
      <c r="K127" t="str">
        <f>UPPER(_xlfn.CONCAT(Form_Responses1[[#This Row],[Prénom]], " ", Form_Responses1[[#This Row],[Nom]]))</f>
        <v xml:space="preserve">KALID  LAMCHACHTI </v>
      </c>
      <c r="L127" t="str">
        <f>UPPER(_xlfn.CONCAT(Form_Responses1[[#This Row],[Prénom]], " ", Form_Responses1[[#This Row],[Nom]]))</f>
        <v xml:space="preserve">KALID  LAMCHACHTI </v>
      </c>
      <c r="N127">
        <f t="shared" si="3"/>
        <v>1</v>
      </c>
    </row>
    <row r="128" spans="1:14" x14ac:dyDescent="0.2">
      <c r="A128" s="4">
        <v>45696.318760162038</v>
      </c>
      <c r="B128" s="5" t="s">
        <v>324</v>
      </c>
      <c r="C128" s="5" t="s">
        <v>497</v>
      </c>
      <c r="D128" s="5" t="s">
        <v>498</v>
      </c>
      <c r="E128" s="6">
        <v>22792</v>
      </c>
      <c r="F128" s="5" t="s">
        <v>12</v>
      </c>
      <c r="G128" s="7" t="s">
        <v>499</v>
      </c>
      <c r="H128" s="5" t="s">
        <v>30</v>
      </c>
      <c r="J128" t="str" cm="1">
        <f t="array" ref="J128">IF(ISNA(MATCH(L128,$K$1:K127+K129:K276,0)),"Unique","Duplicate")</f>
        <v>Unique</v>
      </c>
      <c r="K128" t="str">
        <f>UPPER(_xlfn.CONCAT(Form_Responses1[[#This Row],[Prénom]], " ", Form_Responses1[[#This Row],[Nom]]))</f>
        <v>PASCAL BOLLEN</v>
      </c>
      <c r="L128" t="str">
        <f>UPPER(_xlfn.CONCAT(Form_Responses1[[#This Row],[Prénom]], " ", Form_Responses1[[#This Row],[Nom]]))</f>
        <v>PASCAL BOLLEN</v>
      </c>
      <c r="N128">
        <f t="shared" si="3"/>
        <v>1</v>
      </c>
    </row>
    <row r="129" spans="1:14" x14ac:dyDescent="0.2">
      <c r="A129" s="9">
        <v>45696.69026722222</v>
      </c>
      <c r="B129" s="10" t="s">
        <v>500</v>
      </c>
      <c r="C129" s="10" t="s">
        <v>501</v>
      </c>
      <c r="D129" s="10" t="s">
        <v>502</v>
      </c>
      <c r="E129" s="11">
        <v>25792</v>
      </c>
      <c r="F129" s="10" t="s">
        <v>12</v>
      </c>
      <c r="G129" s="10" t="s">
        <v>503</v>
      </c>
      <c r="H129" s="10" t="s">
        <v>286</v>
      </c>
      <c r="J129" t="str" cm="1">
        <f t="array" ref="J129">IF(ISNA(MATCH(L129,$K$1:K128+K130:K277,0)),"Unique","Duplicate")</f>
        <v>Unique</v>
      </c>
      <c r="K129" t="str">
        <f>UPPER(_xlfn.CONCAT(Form_Responses1[[#This Row],[Prénom]], " ", Form_Responses1[[#This Row],[Nom]]))</f>
        <v>MICHELLE BURHENNE</v>
      </c>
      <c r="L129" t="str">
        <f>UPPER(_xlfn.CONCAT(Form_Responses1[[#This Row],[Prénom]], " ", Form_Responses1[[#This Row],[Nom]]))</f>
        <v>MICHELLE BURHENNE</v>
      </c>
      <c r="N129">
        <f t="shared" si="3"/>
        <v>1</v>
      </c>
    </row>
    <row r="130" spans="1:14" x14ac:dyDescent="0.2">
      <c r="A130" s="4">
        <v>45696.708509930555</v>
      </c>
      <c r="B130" s="5" t="s">
        <v>504</v>
      </c>
      <c r="C130" s="5" t="s">
        <v>505</v>
      </c>
      <c r="D130" s="5" t="s">
        <v>506</v>
      </c>
      <c r="E130" s="6">
        <v>31218</v>
      </c>
      <c r="F130" s="5" t="s">
        <v>12</v>
      </c>
      <c r="G130" s="5" t="s">
        <v>507</v>
      </c>
      <c r="J130" t="str" cm="1">
        <f t="array" ref="J130">IF(ISNA(MATCH(L130,$K$1:K129+K131:K278,0)),"Unique","Duplicate")</f>
        <v>Unique</v>
      </c>
      <c r="K130" t="str">
        <f>UPPER(_xlfn.CONCAT(Form_Responses1[[#This Row],[Prénom]], " ", Form_Responses1[[#This Row],[Nom]]))</f>
        <v>JESSICA  RAPAGNA</v>
      </c>
      <c r="L130" t="str">
        <f>UPPER(_xlfn.CONCAT(Form_Responses1[[#This Row],[Prénom]], " ", Form_Responses1[[#This Row],[Nom]]))</f>
        <v>JESSICA  RAPAGNA</v>
      </c>
      <c r="N130">
        <f t="shared" si="3"/>
        <v>1</v>
      </c>
    </row>
    <row r="131" spans="1:14" x14ac:dyDescent="0.2">
      <c r="A131" s="9">
        <v>45696.877874594909</v>
      </c>
      <c r="B131" s="10" t="s">
        <v>148</v>
      </c>
      <c r="C131" s="10" t="s">
        <v>508</v>
      </c>
      <c r="D131" s="10" t="s">
        <v>509</v>
      </c>
      <c r="E131" s="11">
        <v>26626</v>
      </c>
      <c r="F131" s="10" t="s">
        <v>12</v>
      </c>
      <c r="G131" s="12" t="s">
        <v>510</v>
      </c>
      <c r="H131" s="10" t="s">
        <v>30</v>
      </c>
      <c r="J131" t="str" cm="1">
        <f t="array" ref="J131">IF(ISNA(MATCH(L131,$K$1:K130+K132:K279,0)),"Unique","Duplicate")</f>
        <v>Unique</v>
      </c>
      <c r="K131" t="str">
        <f>UPPER(_xlfn.CONCAT(Form_Responses1[[#This Row],[Prénom]], " ", Form_Responses1[[#This Row],[Nom]]))</f>
        <v xml:space="preserve">LAURENT  PINSART </v>
      </c>
      <c r="L131" t="str">
        <f>UPPER(_xlfn.CONCAT(Form_Responses1[[#This Row],[Prénom]], " ", Form_Responses1[[#This Row],[Nom]]))</f>
        <v xml:space="preserve">LAURENT  PINSART </v>
      </c>
      <c r="N131">
        <f t="shared" si="3"/>
        <v>1</v>
      </c>
    </row>
    <row r="132" spans="1:14" x14ac:dyDescent="0.2">
      <c r="A132" s="13">
        <v>45696.904379212967</v>
      </c>
      <c r="B132" s="14" t="s">
        <v>511</v>
      </c>
      <c r="C132" s="14" t="s">
        <v>512</v>
      </c>
      <c r="D132" s="14" t="s">
        <v>177</v>
      </c>
      <c r="E132" s="15">
        <v>33478</v>
      </c>
      <c r="F132" s="14" t="s">
        <v>12</v>
      </c>
      <c r="G132" s="16" t="s">
        <v>513</v>
      </c>
      <c r="J132" t="str" cm="1">
        <f t="array" ref="J132">IF(ISNA(MATCH(L132,$K$1:K131+K133:K280,0)),"Unique","Duplicate")</f>
        <v>Unique</v>
      </c>
      <c r="K132" t="str">
        <f>UPPER(_xlfn.CONCAT(Form_Responses1[[#This Row],[Prénom]], " ", Form_Responses1[[#This Row],[Nom]]))</f>
        <v xml:space="preserve">PRISCILLA  FORTUNATO </v>
      </c>
      <c r="L132" t="str">
        <f>UPPER(_xlfn.CONCAT(Form_Responses1[[#This Row],[Prénom]], " ", Form_Responses1[[#This Row],[Nom]]))</f>
        <v xml:space="preserve">PRISCILLA  FORTUNATO </v>
      </c>
      <c r="N132">
        <f t="shared" si="3"/>
        <v>1</v>
      </c>
    </row>
  </sheetData>
  <phoneticPr fontId="2" type="noConversion"/>
  <conditionalFormatting sqref="N1:N1048576">
    <cfRule type="cellIs" dxfId="0" priority="1" operator="greaterThan">
      <formula>1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Helori Lamberty</cp:lastModifiedBy>
  <dcterms:modified xsi:type="dcterms:W3CDTF">2025-02-12T08:49:15Z</dcterms:modified>
</cp:coreProperties>
</file>